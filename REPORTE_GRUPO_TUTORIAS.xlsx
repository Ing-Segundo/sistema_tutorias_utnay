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 PDF" sheetId="1" state="visible" r:id="rId3"/>
    <sheet name="EJEMPLO GRUPO 91" sheetId="2" state="visible" r:id="rId4"/>
    <sheet name="DATOS" sheetId="3" state="visible" r:id="rId5"/>
  </sheets>
  <definedNames>
    <definedName function="false" hidden="false" localSheetId="1" name="_xlnm.Print_Area" vbProcedure="false">'EJEMPLO GRUPO 91'!$A$1:$R$65</definedName>
    <definedName function="false" hidden="false" localSheetId="0" name="_xlnm.Print_Area" vbProcedure="false">'PLANTILLA PDF'!$A$1:$R$65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<sst xmlns="http://schemas.openxmlformats.org/spreadsheetml/2006/main" count="203" uniqueCount="93">
  <si>
    <t xml:space="preserve">UNIVERSIDAD TECNOLÓGICA DE NAYARIT</t>
  </si>
  <si>
    <t xml:space="preserve">INGENIERÍA EN DESARROLLO Y GESTIÓN DE SOFTWARE</t>
  </si>
  <si>
    <t xml:space="preserve">Organismo Público Descentralizado  ·  Gobierno del Estado de Nayarit</t>
  </si>
  <si>
    <t xml:space="preserve">REPORTE DE SEGUIMIENTO DEL GRUPO</t>
  </si>
  <si>
    <t xml:space="preserve">GRUPO:</t>
  </si>
  <si>
    <t xml:space="preserve">91</t>
  </si>
  <si>
    <t xml:space="preserve">TUTOR:</t>
  </si>
  <si>
    <t xml:space="preserve">Ing. Mariana López Cárdenas</t>
  </si>
  <si>
    <t xml:space="preserve">FECHA:</t>
  </si>
  <si>
    <t xml:space="preserve">09/08/2026</t>
  </si>
  <si>
    <t xml:space="preserve">TOTAL DE ALUMNOS</t>
  </si>
  <si>
    <t xml:space="preserve">PROMEDIO GENERAL</t>
  </si>
  <si>
    <t xml:space="preserve">ALUMNOS CON TUTORÍA</t>
  </si>
  <si>
    <t xml:space="preserve">ALUMNOS EN RIESGO</t>
  </si>
  <si>
    <t xml:space="preserve">RENDIMIENTO ACADÉMICO</t>
  </si>
  <si>
    <t xml:space="preserve">ESTADO DE TUTORÍAS</t>
  </si>
  <si>
    <t xml:space="preserve">Detalle por estatus</t>
  </si>
  <si>
    <t xml:space="preserve">■</t>
  </si>
  <si>
    <t xml:space="preserve">Realizada</t>
  </si>
  <si>
    <t xml:space="preserve">Programada</t>
  </si>
  <si>
    <t xml:space="preserve">Sin tutoría</t>
  </si>
  <si>
    <t xml:space="preserve">ALUMNOS EN RIESGO  ·  seguimiento sugerido por el tutor</t>
  </si>
  <si>
    <t xml:space="preserve">MATRÍCULA</t>
  </si>
  <si>
    <t xml:space="preserve">NOMBRE DEL ALUMNO</t>
  </si>
  <si>
    <t xml:space="preserve">MOTIVO DE RIESGO</t>
  </si>
  <si>
    <t xml:space="preserve">TUTORÍAS</t>
  </si>
  <si>
    <t xml:space="preserve">NIVEL</t>
  </si>
  <si>
    <t xml:space="preserve">LISTADO GENERAL DEL GRUPO  ·  Tutoría: Real.=Realizada  Prog.=Programada  S/T=Sin tutoría  ·  Riesgo: N/B/M/A</t>
  </si>
  <si>
    <t xml:space="preserve">No.</t>
  </si>
  <si>
    <t xml:space="preserve">ALUMNO</t>
  </si>
  <si>
    <t xml:space="preserve">PROM.</t>
  </si>
  <si>
    <t xml:space="preserve">TUT.</t>
  </si>
  <si>
    <t xml:space="preserve">RGO.</t>
  </si>
  <si>
    <t xml:space="preserve">Reporte generado automáticamente por el Sistema de Tutorías de la Universidad Tecnológica de Nayarit a partir de los registros de tutoría individual del grupo. Uso interno para seguimiento académico.</t>
  </si>
  <si>
    <t xml:space="preserve">Matrícula</t>
  </si>
  <si>
    <t xml:space="preserve">Nombre del Alumno</t>
  </si>
  <si>
    <t xml:space="preserve">Grupo</t>
  </si>
  <si>
    <t xml:space="preserve">Promedio</t>
  </si>
  <si>
    <t xml:space="preserve">Estatus Tutoría</t>
  </si>
  <si>
    <t xml:space="preserve">Num. Tutorías</t>
  </si>
  <si>
    <t xml:space="preserve">Riesgo</t>
  </si>
  <si>
    <t xml:space="preserve">Motivo de Riesgo</t>
  </si>
  <si>
    <t xml:space="preserve">Estado Tutoría</t>
  </si>
  <si>
    <t xml:space="preserve">Cantidad</t>
  </si>
  <si>
    <t xml:space="preserve">TIC-240091</t>
  </si>
  <si>
    <t xml:space="preserve">Abigail Montserrat Flores Rubio</t>
  </si>
  <si>
    <t xml:space="preserve">Ninguno</t>
  </si>
  <si>
    <t xml:space="preserve">TIC-240092</t>
  </si>
  <si>
    <t xml:space="preserve">Brandon Josué Castañeda Ríos</t>
  </si>
  <si>
    <t xml:space="preserve">Alto</t>
  </si>
  <si>
    <t xml:space="preserve">Reprobación</t>
  </si>
  <si>
    <t xml:space="preserve">TIC-240093</t>
  </si>
  <si>
    <t xml:space="preserve">Camila Fernanda López Torres</t>
  </si>
  <si>
    <t xml:space="preserve">TIC-240094</t>
  </si>
  <si>
    <t xml:space="preserve">Diego Alejandro Núñez Bravo</t>
  </si>
  <si>
    <t xml:space="preserve">Bajo</t>
  </si>
  <si>
    <t xml:space="preserve">Impuntualidad</t>
  </si>
  <si>
    <t xml:space="preserve">TIC-240095</t>
  </si>
  <si>
    <t xml:space="preserve">Elena Sofía Ramírez Gaona</t>
  </si>
  <si>
    <t xml:space="preserve">TIC-240096</t>
  </si>
  <si>
    <t xml:space="preserve">Fernando Iván Solórzano Peña</t>
  </si>
  <si>
    <t xml:space="preserve">TIC-240097</t>
  </si>
  <si>
    <t xml:space="preserve">Gabriela Itzel Contreras May</t>
  </si>
  <si>
    <t xml:space="preserve">TIC-240098</t>
  </si>
  <si>
    <t xml:space="preserve">Héctor Manuel Beltrán Osuna</t>
  </si>
  <si>
    <t xml:space="preserve">Medio</t>
  </si>
  <si>
    <t xml:space="preserve">Problemas económicos</t>
  </si>
  <si>
    <t xml:space="preserve">TIC-240099</t>
  </si>
  <si>
    <t xml:space="preserve">Ivonne Paola Cárdenas Zúñiga</t>
  </si>
  <si>
    <t xml:space="preserve">TIC-240100</t>
  </si>
  <si>
    <t xml:space="preserve">Jorge Emiliano Vargas Cetina</t>
  </si>
  <si>
    <t xml:space="preserve">Ausentismo</t>
  </si>
  <si>
    <t xml:space="preserve">TIC-240101</t>
  </si>
  <si>
    <t xml:space="preserve">Karla Ximena Delgado Puc</t>
  </si>
  <si>
    <t xml:space="preserve">TIC-240102</t>
  </si>
  <si>
    <t xml:space="preserve">Luis Ángel Mendoza Chi</t>
  </si>
  <si>
    <t xml:space="preserve">Problemas personales</t>
  </si>
  <si>
    <t xml:space="preserve">TIC-240103</t>
  </si>
  <si>
    <t xml:space="preserve">María José Aguilar Tun</t>
  </si>
  <si>
    <t xml:space="preserve">TIC-240104</t>
  </si>
  <si>
    <t xml:space="preserve">Néstor Iván Cruz Balam</t>
  </si>
  <si>
    <t xml:space="preserve">TIC-240105</t>
  </si>
  <si>
    <t xml:space="preserve">Olivia Renata Pech Dzul</t>
  </si>
  <si>
    <t xml:space="preserve">TIC-240106</t>
  </si>
  <si>
    <t xml:space="preserve">Pedro Alexis Gómez Uc</t>
  </si>
  <si>
    <t xml:space="preserve">TIC-240107</t>
  </si>
  <si>
    <t xml:space="preserve">Quetzal Yamileth Poot Kú</t>
  </si>
  <si>
    <t xml:space="preserve">TIC-240108</t>
  </si>
  <si>
    <t xml:space="preserve">Ricardo Alonso Herrera Cob</t>
  </si>
  <si>
    <t xml:space="preserve">TIC-240109</t>
  </si>
  <si>
    <t xml:space="preserve">Samantha Nicole Ake Chan</t>
  </si>
  <si>
    <t xml:space="preserve">TIC-240110</t>
  </si>
  <si>
    <t xml:space="preserve">Tomás Eduardo Yam Canul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</si>
</sst>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.5"/>
      <color rgb="FFA7F3D0"/>
      <name val="Arial"/>
      <family val="0"/>
      <charset val="1"/>
    </font>
    <font>
      <i val="true"/>
      <sz val="7.5"/>
      <color rgb="FFB7E0C7"/>
      <name val="Arial"/>
      <family val="0"/>
      <charset val="1"/>
    </font>
    <font>
      <b val="true"/>
      <sz val="12.5"/>
      <color rgb="FFFFFFFF"/>
      <name val="Arial"/>
      <family val="0"/>
      <charset val="1"/>
    </font>
    <font>
      <b val="true"/>
      <sz val="8.5"/>
      <color rgb="FFCBEFD9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7.5"/>
      <color rgb="FFFFFFFF"/>
      <name val="Arial"/>
      <family val="0"/>
      <charset val="1"/>
    </font>
    <font>
      <b val="true"/>
      <sz val="16"/>
      <color rgb="FF07352A"/>
      <name val="Arial"/>
      <family val="0"/>
      <charset val="1"/>
    </font>
    <font>
      <b val="true"/>
      <sz val="7.5"/>
      <color rgb="FF4F8272"/>
      <name val="Arial"/>
      <family val="0"/>
      <charset val="1"/>
    </font>
    <font>
      <b val="true"/>
      <sz val="8"/>
      <color rgb="FF0E7C70"/>
      <name val="Arial"/>
      <family val="0"/>
      <charset val="1"/>
    </font>
    <font>
      <sz val="7.6"/>
      <color rgb="FF0B5443"/>
      <name val="Arial"/>
      <family val="0"/>
      <charset val="1"/>
    </font>
    <font>
      <b val="true"/>
      <sz val="7.6"/>
      <color rgb="FF07352A"/>
      <name val="Arial"/>
      <family val="0"/>
      <charset val="1"/>
    </font>
    <font>
      <b val="true"/>
      <sz val="8"/>
      <color rgb="FF8FC7A6"/>
      <name val="Arial"/>
      <family val="0"/>
      <charset val="1"/>
    </font>
    <font>
      <b val="true"/>
      <sz val="8"/>
      <color rgb="FF4F8272"/>
      <name val="Arial"/>
      <family val="0"/>
      <charset val="1"/>
    </font>
    <font>
      <b val="true"/>
      <sz val="7.6"/>
      <color rgb="FF0B5443"/>
      <name val="Arial"/>
      <family val="0"/>
      <charset val="1"/>
    </font>
    <font>
      <b val="true"/>
      <sz val="7.8"/>
      <color rgb="FFFFFFFF"/>
      <name val="Arial"/>
      <family val="0"/>
      <charset val="1"/>
    </font>
    <font>
      <sz val="8.3"/>
      <color rgb="FF07352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7.3"/>
      <color rgb="FFFFFFFF"/>
      <name val="Arial"/>
      <family val="0"/>
      <charset val="1"/>
    </font>
    <font>
      <sz val="7"/>
      <color rgb="FF07352A"/>
      <name val="Arial"/>
      <family val="0"/>
      <charset val="1"/>
    </font>
    <font>
      <i val="true"/>
      <sz val="6.8"/>
      <color rgb="FF4F8272"/>
      <name val="Arial"/>
      <family val="0"/>
      <charset val="1"/>
    </font>
    <font>
      <sz val="7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9.5"/>
      <color rgb="FF07352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52E2B"/>
        <bgColor rgb="FF07352A"/>
      </patternFill>
    </fill>
    <fill>
      <patternFill patternType="solid">
        <fgColor rgb="FF0B6359"/>
        <bgColor rgb="FF0B5443"/>
      </patternFill>
    </fill>
    <fill>
      <patternFill patternType="solid">
        <fgColor rgb="FF0E7C70"/>
        <bgColor rgb="FF0B6359"/>
      </patternFill>
    </fill>
    <fill>
      <patternFill patternType="solid">
        <fgColor rgb="FFEEF7F1"/>
        <bgColor rgb="FFF9F9F9"/>
      </patternFill>
    </fill>
    <fill>
      <patternFill patternType="solid">
        <fgColor rgb="FF084B43"/>
        <bgColor rgb="FF0B5443"/>
      </patternFill>
    </fill>
    <fill>
      <patternFill patternType="solid">
        <fgColor rgb="FF8C3A2B"/>
        <bgColor rgb="FF993366"/>
      </patternFill>
    </fill>
    <fill>
      <patternFill patternType="solid">
        <fgColor rgb="FF8A6D1F"/>
        <bgColor rgb="FF8C3A2B"/>
      </patternFill>
    </fill>
    <fill>
      <patternFill patternType="solid">
        <fgColor rgb="FF0B5443"/>
        <bgColor rgb="FF084B43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>
        <color rgb="FF084B43"/>
      </left>
      <right/>
      <top/>
      <bottom/>
      <diagonal/>
    </border>
    <border diagonalUp="false" diagonalDown="false">
      <left/>
      <right/>
      <top style="medium">
        <color rgb="FF084B43"/>
      </top>
      <bottom/>
      <diagonal/>
    </border>
    <border diagonalUp="false" diagonalDown="false">
      <left/>
      <right style="medium">
        <color rgb="FF084B43"/>
      </right>
      <top/>
      <bottom/>
      <diagonal/>
    </border>
    <border diagonalUp="false" diagonalDown="false">
      <left style="medium">
        <color rgb="FF084B43"/>
      </left>
      <right style="medium">
        <color rgb="FF084B43"/>
      </right>
      <top/>
      <bottom/>
      <diagonal/>
    </border>
    <border diagonalUp="false" diagonalDown="false">
      <left style="medium">
        <color rgb="FF084B43"/>
      </left>
      <right style="thin">
        <color rgb="FF0E7C70"/>
      </right>
      <top/>
      <bottom/>
      <diagonal/>
    </border>
    <border diagonalUp="false" diagonalDown="false">
      <left style="thin">
        <color rgb="FF0E7C70"/>
      </left>
      <right style="thin">
        <color rgb="FF0E7C70"/>
      </right>
      <top style="thin">
        <color rgb="FF0E7C70"/>
      </top>
      <bottom style="thin">
        <color rgb="FF0E7C70"/>
      </bottom>
      <diagonal/>
    </border>
    <border diagonalUp="false" diagonalDown="false">
      <left style="thin">
        <color rgb="FF0E7C70"/>
      </left>
      <right style="medium">
        <color rgb="FF084B43"/>
      </right>
      <top style="thin">
        <color rgb="FF0E7C70"/>
      </top>
      <bottom style="thin">
        <color rgb="FF0E7C70"/>
      </bottom>
      <diagonal/>
    </border>
    <border diagonalUp="false" diagonalDown="false">
      <left style="medium">
        <color rgb="FF084B43"/>
      </left>
      <right style="thin">
        <color rgb="FFCFE7D8"/>
      </right>
      <top/>
      <bottom/>
      <diagonal/>
    </border>
    <border diagonalUp="false" diagonalDown="false">
      <left style="thin">
        <color rgb="FFCFE7D8"/>
      </left>
      <right style="thin">
        <color rgb="FFCFE7D8"/>
      </right>
      <top style="thin">
        <color rgb="FFCFE7D8"/>
      </top>
      <bottom style="thin">
        <color rgb="FFCFE7D8"/>
      </bottom>
      <diagonal/>
    </border>
    <border diagonalUp="false" diagonalDown="false">
      <left style="thin">
        <color rgb="FFCFE7D8"/>
      </left>
      <right style="medium">
        <color rgb="FF084B43"/>
      </right>
      <top style="thin">
        <color rgb="FFCFE7D8"/>
      </top>
      <bottom style="thin">
        <color rgb="FFCFE7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1F"/>
      <rgbColor rgb="FF800080"/>
      <rgbColor rgb="FF0E7C70"/>
      <rgbColor rgb="FFB7E0C7"/>
      <rgbColor rgb="FF878787"/>
      <rgbColor rgb="FF9999FF"/>
      <rgbColor rgb="FF993366"/>
      <rgbColor rgb="FFF9F9F9"/>
      <rgbColor rgb="FFEEF7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B6359"/>
      <rgbColor rgb="FF0000FF"/>
      <rgbColor rgb="FF00CCFF"/>
      <rgbColor rgb="FFCFE7D8"/>
      <rgbColor rgb="FFCBEFD9"/>
      <rgbColor rgb="FFA7F3D0"/>
      <rgbColor rgb="FF8FC7A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52E2B"/>
      <rgbColor rgb="FF4F8272"/>
      <rgbColor rgb="FF07352A"/>
      <rgbColor rgb="FF0B5443"/>
      <rgbColor rgb="FF8C3A2B"/>
      <rgbColor rgb="FF993366"/>
      <rgbColor rgb="FF333399"/>
      <rgbColor rgb="FF084B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DATOS!D1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rgbClr val="0e7c7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DATOS!$B$2:$B$21</c:f>
              <c:strCache>
                <c:ptCount val="20"/>
                <c:pt idx="0">
                  <c:v>Abigail Montserrat Flores Rubio</c:v>
                </c:pt>
                <c:pt idx="1">
                  <c:v>Brandon Josué Castañeda Ríos</c:v>
                </c:pt>
                <c:pt idx="2">
                  <c:v>Camila Fernanda López Torres</c:v>
                </c:pt>
                <c:pt idx="3">
                  <c:v>Diego Alejandro Núñez Bravo</c:v>
                </c:pt>
                <c:pt idx="4">
                  <c:v>Elena Sofía Ramírez Gaona</c:v>
                </c:pt>
                <c:pt idx="5">
                  <c:v>Fernando Iván Solórzano Peña</c:v>
                </c:pt>
                <c:pt idx="6">
                  <c:v>Gabriela Itzel Contreras May</c:v>
                </c:pt>
                <c:pt idx="7">
                  <c:v>Héctor Manuel Beltrán Osuna</c:v>
                </c:pt>
                <c:pt idx="8">
                  <c:v>Ivonne Paola Cárdenas Zúñiga</c:v>
                </c:pt>
                <c:pt idx="9">
                  <c:v>Jorge Emiliano Vargas Cetina</c:v>
                </c:pt>
                <c:pt idx="10">
                  <c:v>Karla Ximena Delgado Puc</c:v>
                </c:pt>
                <c:pt idx="11">
                  <c:v>Luis Ángel Mendoza Chi</c:v>
                </c:pt>
                <c:pt idx="12">
                  <c:v>María José Aguilar Tun</c:v>
                </c:pt>
                <c:pt idx="13">
                  <c:v>Néstor Iván Cruz Balam</c:v>
                </c:pt>
                <c:pt idx="14">
                  <c:v>Olivia Renata Pech Dzul</c:v>
                </c:pt>
                <c:pt idx="15">
                  <c:v>Pedro Alexis Gómez Uc</c:v>
                </c:pt>
                <c:pt idx="16">
                  <c:v>Quetzal Yamileth Poot Kú</c:v>
                </c:pt>
                <c:pt idx="17">
                  <c:v>Ricardo Alonso Herrera Cob</c:v>
                </c:pt>
                <c:pt idx="18">
                  <c:v>Samantha Nicole Ake Chan</c:v>
                </c:pt>
                <c:pt idx="19">
                  <c:v>Tomás Eduardo Yam Canul</c:v>
                </c:pt>
              </c:strCache>
            </c:strRef>
          </c:cat>
          <c:val>
            <c:numRef>
              <c:f>DATOS!$D$2:$D$21</c:f>
              <c:numCache>
                <c:formatCode>General</c:formatCode>
                <c:ptCount val="20"/>
                <c:pt idx="0">
                  <c:v>9.2</c:v>
                </c:pt>
                <c:pt idx="1">
                  <c:v>6.1</c:v>
                </c:pt>
                <c:pt idx="2">
                  <c:v>8.6</c:v>
                </c:pt>
                <c:pt idx="3">
                  <c:v>7.4</c:v>
                </c:pt>
                <c:pt idx="4">
                  <c:v>9</c:v>
                </c:pt>
                <c:pt idx="5">
                  <c:v>5.8</c:v>
                </c:pt>
                <c:pt idx="6">
                  <c:v>8.1</c:v>
                </c:pt>
                <c:pt idx="7">
                  <c:v>6.9</c:v>
                </c:pt>
                <c:pt idx="8">
                  <c:v>8.8</c:v>
                </c:pt>
                <c:pt idx="9">
                  <c:v>7.9</c:v>
                </c:pt>
                <c:pt idx="10">
                  <c:v>9.4</c:v>
                </c:pt>
                <c:pt idx="11">
                  <c:v>6.4</c:v>
                </c:pt>
                <c:pt idx="12">
                  <c:v>8.3</c:v>
                </c:pt>
                <c:pt idx="13">
                  <c:v>7.6</c:v>
                </c:pt>
                <c:pt idx="14">
                  <c:v>8.9</c:v>
                </c:pt>
                <c:pt idx="15">
                  <c:v>5.6</c:v>
                </c:pt>
                <c:pt idx="16">
                  <c:v>7.2</c:v>
                </c:pt>
                <c:pt idx="17">
                  <c:v>8.5</c:v>
                </c:pt>
                <c:pt idx="18">
                  <c:v>6.7</c:v>
                </c:pt>
                <c:pt idx="19">
                  <c:v>8</c:v>
                </c:pt>
              </c:numCache>
            </c:numRef>
          </c:val>
        </c:ser>
        <c:gapWidth val="25"/>
        <c:overlap val="0"/>
        <c:axId val="98545009"/>
        <c:axId val="92462412"/>
      </c:barChart>
      <c:catAx>
        <c:axId val="985450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7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62412"/>
        <c:crosses val="autoZero"/>
        <c:auto val="1"/>
        <c:lblAlgn val="ctr"/>
        <c:lblOffset val="100"/>
        <c:noMultiLvlLbl val="0"/>
      </c:catAx>
      <c:valAx>
        <c:axId val="924624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7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450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tx>
            <c:strRef>
              <c:f>DATOS!K1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0e7c7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8fc7a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cfe7d8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DATOS!$J$2:$J$4</c:f>
              <c:strCache>
                <c:ptCount val="3"/>
                <c:pt idx="0">
                  <c:v>Realizada</c:v>
                </c:pt>
                <c:pt idx="1">
                  <c:v>Programada</c:v>
                </c:pt>
                <c:pt idx="2">
                  <c:v>Sin tutoría</c:v>
                </c:pt>
              </c:strCache>
            </c:strRef>
          </c:cat>
          <c:val>
            <c:numRef>
              <c:f>DATOS!$K$2:$K$4</c:f>
              <c:numCache>
                <c:formatCode>General</c:formatCode>
                <c:ptCount val="3"/>
                <c:pt idx="0">
                  <c:v>14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DATOS!D1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rgbClr val="0e7c7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DATOS!$B$2:$B$21</c:f>
              <c:strCache>
                <c:ptCount val="20"/>
                <c:pt idx="0">
                  <c:v>Abigail Montserrat Flores Rubio</c:v>
                </c:pt>
                <c:pt idx="1">
                  <c:v>Brandon Josué Castañeda Ríos</c:v>
                </c:pt>
                <c:pt idx="2">
                  <c:v>Camila Fernanda López Torres</c:v>
                </c:pt>
                <c:pt idx="3">
                  <c:v>Diego Alejandro Núñez Bravo</c:v>
                </c:pt>
                <c:pt idx="4">
                  <c:v>Elena Sofía Ramírez Gaona</c:v>
                </c:pt>
                <c:pt idx="5">
                  <c:v>Fernando Iván Solórzano Peña</c:v>
                </c:pt>
                <c:pt idx="6">
                  <c:v>Gabriela Itzel Contreras May</c:v>
                </c:pt>
                <c:pt idx="7">
                  <c:v>Héctor Manuel Beltrán Osuna</c:v>
                </c:pt>
                <c:pt idx="8">
                  <c:v>Ivonne Paola Cárdenas Zúñiga</c:v>
                </c:pt>
                <c:pt idx="9">
                  <c:v>Jorge Emiliano Vargas Cetina</c:v>
                </c:pt>
                <c:pt idx="10">
                  <c:v>Karla Ximena Delgado Puc</c:v>
                </c:pt>
                <c:pt idx="11">
                  <c:v>Luis Ángel Mendoza Chi</c:v>
                </c:pt>
                <c:pt idx="12">
                  <c:v>María José Aguilar Tun</c:v>
                </c:pt>
                <c:pt idx="13">
                  <c:v>Néstor Iván Cruz Balam</c:v>
                </c:pt>
                <c:pt idx="14">
                  <c:v>Olivia Renata Pech Dzul</c:v>
                </c:pt>
                <c:pt idx="15">
                  <c:v>Pedro Alexis Gómez Uc</c:v>
                </c:pt>
                <c:pt idx="16">
                  <c:v>Quetzal Yamileth Poot Kú</c:v>
                </c:pt>
                <c:pt idx="17">
                  <c:v>Ricardo Alonso Herrera Cob</c:v>
                </c:pt>
                <c:pt idx="18">
                  <c:v>Samantha Nicole Ake Chan</c:v>
                </c:pt>
                <c:pt idx="19">
                  <c:v>Tomás Eduardo Yam Canul</c:v>
                </c:pt>
              </c:strCache>
            </c:strRef>
          </c:cat>
          <c:val>
            <c:numRef>
              <c:f>DATOS!$D$2:$D$21</c:f>
              <c:numCache>
                <c:formatCode>General</c:formatCode>
                <c:ptCount val="20"/>
                <c:pt idx="0">
                  <c:v>9.2</c:v>
                </c:pt>
                <c:pt idx="1">
                  <c:v>6.1</c:v>
                </c:pt>
                <c:pt idx="2">
                  <c:v>8.6</c:v>
                </c:pt>
                <c:pt idx="3">
                  <c:v>7.4</c:v>
                </c:pt>
                <c:pt idx="4">
                  <c:v>9</c:v>
                </c:pt>
                <c:pt idx="5">
                  <c:v>5.8</c:v>
                </c:pt>
                <c:pt idx="6">
                  <c:v>8.1</c:v>
                </c:pt>
                <c:pt idx="7">
                  <c:v>6.9</c:v>
                </c:pt>
                <c:pt idx="8">
                  <c:v>8.8</c:v>
                </c:pt>
                <c:pt idx="9">
                  <c:v>7.9</c:v>
                </c:pt>
                <c:pt idx="10">
                  <c:v>9.4</c:v>
                </c:pt>
                <c:pt idx="11">
                  <c:v>6.4</c:v>
                </c:pt>
                <c:pt idx="12">
                  <c:v>8.3</c:v>
                </c:pt>
                <c:pt idx="13">
                  <c:v>7.6</c:v>
                </c:pt>
                <c:pt idx="14">
                  <c:v>8.9</c:v>
                </c:pt>
                <c:pt idx="15">
                  <c:v>5.6</c:v>
                </c:pt>
                <c:pt idx="16">
                  <c:v>7.2</c:v>
                </c:pt>
                <c:pt idx="17">
                  <c:v>8.5</c:v>
                </c:pt>
                <c:pt idx="18">
                  <c:v>6.7</c:v>
                </c:pt>
                <c:pt idx="19">
                  <c:v>8</c:v>
                </c:pt>
              </c:numCache>
            </c:numRef>
          </c:val>
        </c:ser>
        <c:gapWidth val="25"/>
        <c:overlap val="0"/>
        <c:axId val="38153538"/>
        <c:axId val="38300972"/>
      </c:barChart>
      <c:catAx>
        <c:axId val="381535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7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00972"/>
        <c:crosses val="autoZero"/>
        <c:auto val="1"/>
        <c:lblAlgn val="ctr"/>
        <c:lblOffset val="100"/>
        <c:noMultiLvlLbl val="0"/>
      </c:catAx>
      <c:valAx>
        <c:axId val="383009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7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535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tx>
            <c:strRef>
              <c:f>DATOS!K1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0e7c7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8fc7a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cfe7d8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DATOS!$J$2:$J$4</c:f>
              <c:strCache>
                <c:ptCount val="3"/>
                <c:pt idx="0">
                  <c:v>Realizada</c:v>
                </c:pt>
                <c:pt idx="1">
                  <c:v>Programada</c:v>
                </c:pt>
                <c:pt idx="2">
                  <c:v>Sin tutoría</c:v>
                </c:pt>
              </c:strCache>
            </c:strRef>
          </c:cat>
          <c:val>
            <c:numRef>
              <c:f>DATOS!$K$2:$K$4</c:f>
              <c:numCache>
                <c:formatCode>General</c:formatCode>
                <c:ptCount val="3"/>
                <c:pt idx="0">
                  <c:v>14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Relationship Id="rId4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image" Target="../media/image1.png"/><Relationship Id="rId4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11</xdr:col>
      <xdr:colOff>71640</xdr:colOff>
      <xdr:row>36</xdr:row>
      <xdr:rowOff>30960</xdr:rowOff>
    </xdr:to>
    <xdr:graphicFrame>
      <xdr:nvGraphicFramePr>
        <xdr:cNvPr id="0" name="Chart 1"/>
        <xdr:cNvGraphicFramePr/>
      </xdr:nvGraphicFramePr>
      <xdr:xfrm>
        <a:off x="211320" y="2409840"/>
        <a:ext cx="4510440" cy="33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14</xdr:row>
      <xdr:rowOff>0</xdr:rowOff>
    </xdr:from>
    <xdr:to>
      <xdr:col>16</xdr:col>
      <xdr:colOff>214920</xdr:colOff>
      <xdr:row>27</xdr:row>
      <xdr:rowOff>34560</xdr:rowOff>
    </xdr:to>
    <xdr:graphicFrame>
      <xdr:nvGraphicFramePr>
        <xdr:cNvPr id="1" name="Chart 2"/>
        <xdr:cNvGraphicFramePr/>
      </xdr:nvGraphicFramePr>
      <xdr:xfrm>
        <a:off x="5094000" y="2409840"/>
        <a:ext cx="19904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30240</xdr:colOff>
      <xdr:row>2</xdr:row>
      <xdr:rowOff>152280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0"/>
          <a:ext cx="6854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18</xdr:col>
      <xdr:colOff>230400</xdr:colOff>
      <xdr:row>2</xdr:row>
      <xdr:rowOff>37800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6869520" y="0"/>
          <a:ext cx="885600" cy="418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11</xdr:col>
      <xdr:colOff>71640</xdr:colOff>
      <xdr:row>36</xdr:row>
      <xdr:rowOff>30960</xdr:rowOff>
    </xdr:to>
    <xdr:graphicFrame>
      <xdr:nvGraphicFramePr>
        <xdr:cNvPr id="4" name="Chart 1"/>
        <xdr:cNvGraphicFramePr/>
      </xdr:nvGraphicFramePr>
      <xdr:xfrm>
        <a:off x="211320" y="2409840"/>
        <a:ext cx="4510440" cy="33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14</xdr:row>
      <xdr:rowOff>0</xdr:rowOff>
    </xdr:from>
    <xdr:to>
      <xdr:col>16</xdr:col>
      <xdr:colOff>214920</xdr:colOff>
      <xdr:row>27</xdr:row>
      <xdr:rowOff>34560</xdr:rowOff>
    </xdr:to>
    <xdr:graphicFrame>
      <xdr:nvGraphicFramePr>
        <xdr:cNvPr id="5" name="Chart 2"/>
        <xdr:cNvGraphicFramePr/>
      </xdr:nvGraphicFramePr>
      <xdr:xfrm>
        <a:off x="5094000" y="2409840"/>
        <a:ext cx="19904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30240</xdr:colOff>
      <xdr:row>2</xdr:row>
      <xdr:rowOff>152280</xdr:rowOff>
    </xdr:to>
    <xdr:pic>
      <xdr:nvPicPr>
        <xdr:cNvPr id="6" name="Image 3" descr="Picture"/>
        <xdr:cNvPicPr/>
      </xdr:nvPicPr>
      <xdr:blipFill>
        <a:blip r:embed="rId3"/>
        <a:stretch/>
      </xdr:blipFill>
      <xdr:spPr>
        <a:xfrm>
          <a:off x="0" y="0"/>
          <a:ext cx="6854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18</xdr:col>
      <xdr:colOff>230400</xdr:colOff>
      <xdr:row>2</xdr:row>
      <xdr:rowOff>37800</xdr:rowOff>
    </xdr:to>
    <xdr:pic>
      <xdr:nvPicPr>
        <xdr:cNvPr id="7" name="Image 4" descr="Picture"/>
        <xdr:cNvPicPr/>
      </xdr:nvPicPr>
      <xdr:blipFill>
        <a:blip r:embed="rId4"/>
        <a:stretch/>
      </xdr:blipFill>
      <xdr:spPr>
        <a:xfrm>
          <a:off x="6869520" y="0"/>
          <a:ext cx="885600" cy="418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7" min="2" style="0" width="6.3"/>
    <col collapsed="false" customWidth="true" hidden="false" outlineLevel="0" max="18" min="18" style="0" width="3"/>
  </cols>
  <sheetData>
    <row r="1" customFormat="false" ht="6" hidden="false" customHeight="true" outlineLevel="0" collapsed="false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</row>
    <row r="2" customFormat="false" ht="24" hidden="false" customHeight="true" outlineLevel="0" collapsed="false">
      <c r="A2" s="1"/>
      <c r="B2" s="2"/>
      <c r="C2" s="5" t="s"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4"/>
      <c r="R2" s="1"/>
    </row>
    <row r="3" customFormat="false" ht="16.5" hidden="false" customHeight="true" outlineLevel="0" collapsed="false">
      <c r="A3" s="1"/>
      <c r="B3" s="2"/>
      <c r="C3" s="6" t="s">
        <v>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4"/>
      <c r="R3" s="1"/>
    </row>
    <row r="4" customFormat="false" ht="12.75" hidden="false" customHeight="true" outlineLevel="0" collapsed="false">
      <c r="A4" s="1"/>
      <c r="B4" s="2"/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4"/>
      <c r="R4" s="1"/>
    </row>
    <row r="5" customFormat="false" ht="4.5" hidden="false" customHeight="true" outlineLevel="0" collapsed="false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4"/>
      <c r="R5" s="1"/>
    </row>
    <row r="6" customFormat="false" ht="18.75" hidden="false" customHeight="true" outlineLevel="0" collapsed="false">
      <c r="A6" s="1"/>
      <c r="B6" s="8" t="s">
        <v>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1"/>
    </row>
    <row r="7" customFormat="false" ht="16.5" hidden="false" customHeight="true" outlineLevel="0" collapsed="false">
      <c r="A7" s="1"/>
      <c r="B7" s="9" t="s">
        <v>4</v>
      </c>
      <c r="C7" s="10" t="s">
        <v>5</v>
      </c>
      <c r="D7" s="10"/>
      <c r="E7" s="10"/>
      <c r="F7" s="11" t="s">
        <v>6</v>
      </c>
      <c r="G7" s="10" t="s">
        <v>7</v>
      </c>
      <c r="H7" s="10"/>
      <c r="I7" s="10"/>
      <c r="J7" s="10"/>
      <c r="K7" s="10"/>
      <c r="L7" s="10"/>
      <c r="M7" s="10"/>
      <c r="N7" s="11" t="s">
        <v>8</v>
      </c>
      <c r="O7" s="12" t="s">
        <v>9</v>
      </c>
      <c r="P7" s="12"/>
      <c r="Q7" s="12"/>
      <c r="R7" s="1"/>
    </row>
    <row r="8" customFormat="false" ht="6" hidden="false" customHeight="true" outlineLevel="0" collapsed="false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4"/>
      <c r="R8" s="1"/>
    </row>
    <row r="9" customFormat="false" ht="15" hidden="false" customHeight="false" outlineLevel="0" collapsed="false">
      <c r="B9" s="13"/>
      <c r="Q9" s="14"/>
    </row>
    <row r="10" customFormat="false" ht="3.75" hidden="false" customHeight="true" outlineLevel="0" collapsed="false">
      <c r="B10" s="13"/>
      <c r="Q10" s="14"/>
    </row>
    <row r="11" customFormat="false" ht="13.5" hidden="false" customHeight="true" outlineLevel="0" collapsed="false">
      <c r="B11" s="15" t="s">
        <v>10</v>
      </c>
      <c r="C11" s="15"/>
      <c r="D11" s="15"/>
      <c r="E11" s="15"/>
      <c r="F11" s="16" t="s">
        <v>11</v>
      </c>
      <c r="G11" s="16"/>
      <c r="H11" s="16"/>
      <c r="I11" s="16"/>
      <c r="J11" s="16" t="s">
        <v>12</v>
      </c>
      <c r="K11" s="16"/>
      <c r="L11" s="16"/>
      <c r="M11" s="16"/>
      <c r="N11" s="17" t="s">
        <v>13</v>
      </c>
      <c r="O11" s="17"/>
      <c r="P11" s="17"/>
      <c r="Q11" s="17"/>
    </row>
    <row r="12" customFormat="false" ht="21.75" hidden="false" customHeight="true" outlineLevel="0" collapsed="false">
      <c r="B12" s="18" t="n">
        <f aca="false">COUNTA(DATOS!A2:A21)</f>
        <v>20</v>
      </c>
      <c r="C12" s="18"/>
      <c r="D12" s="18"/>
      <c r="E12" s="18"/>
      <c r="F12" s="19" t="n">
        <f aca="false">ROUND(AVERAGE(DATOS!D2:D21),1)</f>
        <v>7.7</v>
      </c>
      <c r="G12" s="19"/>
      <c r="H12" s="19"/>
      <c r="I12" s="19"/>
      <c r="J12" s="19" t="n">
        <f aca="false">COUNTIF(DATOS!E2:E21,"&lt;&gt;Sin tutoría")</f>
        <v>17</v>
      </c>
      <c r="K12" s="19"/>
      <c r="L12" s="19"/>
      <c r="M12" s="19"/>
      <c r="N12" s="20" t="n">
        <f aca="false">COUNTIF(DATOS!G2:G21,"&lt;&gt;Ninguno")</f>
        <v>8</v>
      </c>
      <c r="O12" s="20"/>
      <c r="P12" s="20"/>
      <c r="Q12" s="20"/>
    </row>
    <row r="13" customFormat="false" ht="15" hidden="false" customHeight="false" outlineLevel="0" collapsed="false">
      <c r="B13" s="13"/>
      <c r="Q13" s="14"/>
    </row>
    <row r="14" customFormat="false" ht="15.75" hidden="false" customHeight="true" outlineLevel="0" collapsed="false">
      <c r="B14" s="21" t="s">
        <v>14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2" t="s">
        <v>15</v>
      </c>
      <c r="N14" s="22"/>
      <c r="O14" s="22"/>
      <c r="P14" s="22"/>
      <c r="Q14" s="22"/>
    </row>
    <row r="15" customFormat="false" ht="12" hidden="false" customHeight="true" outlineLevel="0" collapsed="false">
      <c r="B15" s="13"/>
      <c r="Q15" s="14"/>
    </row>
    <row r="16" customFormat="false" ht="12" hidden="false" customHeight="true" outlineLevel="0" collapsed="false">
      <c r="B16" s="13"/>
      <c r="Q16" s="14"/>
    </row>
    <row r="17" customFormat="false" ht="12" hidden="false" customHeight="true" outlineLevel="0" collapsed="false">
      <c r="B17" s="13"/>
      <c r="Q17" s="14"/>
    </row>
    <row r="18" customFormat="false" ht="12" hidden="false" customHeight="true" outlineLevel="0" collapsed="false">
      <c r="B18" s="13"/>
      <c r="Q18" s="14"/>
    </row>
    <row r="19" customFormat="false" ht="12" hidden="false" customHeight="true" outlineLevel="0" collapsed="false">
      <c r="B19" s="13"/>
      <c r="Q19" s="14"/>
    </row>
    <row r="20" customFormat="false" ht="12" hidden="false" customHeight="true" outlineLevel="0" collapsed="false">
      <c r="B20" s="13"/>
      <c r="Q20" s="14"/>
    </row>
    <row r="21" customFormat="false" ht="12" hidden="false" customHeight="true" outlineLevel="0" collapsed="false">
      <c r="B21" s="13"/>
      <c r="Q21" s="14"/>
    </row>
    <row r="22" customFormat="false" ht="12" hidden="false" customHeight="true" outlineLevel="0" collapsed="false">
      <c r="B22" s="13"/>
      <c r="Q22" s="14"/>
    </row>
    <row r="23" customFormat="false" ht="12" hidden="false" customHeight="true" outlineLevel="0" collapsed="false">
      <c r="B23" s="13"/>
      <c r="Q23" s="14"/>
    </row>
    <row r="24" customFormat="false" ht="12" hidden="false" customHeight="true" outlineLevel="0" collapsed="false">
      <c r="B24" s="13"/>
      <c r="Q24" s="14"/>
    </row>
    <row r="25" customFormat="false" ht="12" hidden="false" customHeight="true" outlineLevel="0" collapsed="false">
      <c r="B25" s="13"/>
      <c r="Q25" s="14"/>
    </row>
    <row r="26" customFormat="false" ht="12" hidden="false" customHeight="true" outlineLevel="0" collapsed="false">
      <c r="B26" s="13"/>
      <c r="Q26" s="14"/>
    </row>
    <row r="27" customFormat="false" ht="12" hidden="false" customHeight="true" outlineLevel="0" collapsed="false">
      <c r="B27" s="13"/>
      <c r="M27" s="23" t="s">
        <v>16</v>
      </c>
      <c r="N27" s="23"/>
      <c r="O27" s="23"/>
      <c r="P27" s="23"/>
      <c r="Q27" s="23"/>
    </row>
    <row r="28" customFormat="false" ht="12" hidden="false" customHeight="true" outlineLevel="0" collapsed="false">
      <c r="B28" s="13"/>
      <c r="M28" s="24" t="s">
        <v>17</v>
      </c>
      <c r="N28" s="25" t="s">
        <v>18</v>
      </c>
      <c r="O28" s="25"/>
      <c r="P28" s="26" t="str">
        <f aca="false">DATOS!K2&amp;" ("&amp;TEXT(DATOS!K2/20,"0%")&amp;")"</f>
        <v>14 (70%)</v>
      </c>
      <c r="Q28" s="26"/>
    </row>
    <row r="29" customFormat="false" ht="12" hidden="false" customHeight="true" outlineLevel="0" collapsed="false">
      <c r="B29" s="13"/>
      <c r="M29" s="27" t="s">
        <v>17</v>
      </c>
      <c r="N29" s="25" t="s">
        <v>19</v>
      </c>
      <c r="O29" s="25"/>
      <c r="P29" s="26" t="str">
        <f aca="false">DATOS!K3&amp;" ("&amp;TEXT(DATOS!K3/20,"0%")&amp;")"</f>
        <v>3 (15%)</v>
      </c>
      <c r="Q29" s="26"/>
    </row>
    <row r="30" customFormat="false" ht="12" hidden="false" customHeight="true" outlineLevel="0" collapsed="false">
      <c r="B30" s="13"/>
      <c r="M30" s="28" t="s">
        <v>17</v>
      </c>
      <c r="N30" s="25" t="s">
        <v>20</v>
      </c>
      <c r="O30" s="25"/>
      <c r="P30" s="26" t="str">
        <f aca="false">DATOS!K4&amp;" ("&amp;TEXT(DATOS!K4/20,"0%")&amp;")"</f>
        <v>3 (15%)</v>
      </c>
      <c r="Q30" s="26"/>
    </row>
    <row r="31" customFormat="false" ht="12" hidden="false" customHeight="true" outlineLevel="0" collapsed="false">
      <c r="B31" s="13"/>
      <c r="Q31" s="14"/>
    </row>
    <row r="32" customFormat="false" ht="12" hidden="false" customHeight="true" outlineLevel="0" collapsed="false">
      <c r="B32" s="13"/>
      <c r="Q32" s="14"/>
    </row>
    <row r="33" customFormat="false" ht="12" hidden="false" customHeight="true" outlineLevel="0" collapsed="false">
      <c r="B33" s="13"/>
      <c r="Q33" s="14"/>
    </row>
    <row r="34" customFormat="false" ht="12" hidden="false" customHeight="true" outlineLevel="0" collapsed="false">
      <c r="B34" s="13"/>
      <c r="Q34" s="14"/>
    </row>
    <row r="35" customFormat="false" ht="12" hidden="false" customHeight="true" outlineLevel="0" collapsed="false">
      <c r="B35" s="13"/>
      <c r="Q35" s="14"/>
    </row>
    <row r="36" customFormat="false" ht="12" hidden="false" customHeight="true" outlineLevel="0" collapsed="false">
      <c r="B36" s="13"/>
      <c r="Q36" s="14"/>
    </row>
    <row r="37" customFormat="false" ht="15" hidden="false" customHeight="false" outlineLevel="0" collapsed="false">
      <c r="B37" s="13"/>
      <c r="Q37" s="14"/>
    </row>
    <row r="38" customFormat="false" ht="15.75" hidden="false" customHeight="true" outlineLevel="0" collapsed="false">
      <c r="B38" s="29" t="s">
        <v>21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  <row r="39" customFormat="false" ht="15" hidden="false" customHeight="true" outlineLevel="0" collapsed="false">
      <c r="B39" s="30" t="str">
        <f aca="false">"Alumnos en riesgo: "&amp;COUNTIF(DATOS!G2:G21,"&lt;&gt;Ninguno")&amp;" de "&amp;COUNTA(DATOS!A2:A21)</f>
        <v>Alumnos en riesgo: 8 de 20</v>
      </c>
      <c r="C39" s="30"/>
      <c r="D39" s="30"/>
      <c r="E39" s="30"/>
      <c r="F39" s="31" t="str">
        <f aca="false">"% del grupo: "&amp;TEXT(COUNTIF(DATOS!G2:G21,"&lt;&gt;Ninguno")/COUNTA(DATOS!A2:A21),"0%")</f>
        <v>% del grupo: 40%</v>
      </c>
      <c r="G39" s="31"/>
      <c r="H39" s="31"/>
      <c r="I39" s="31" t="str">
        <f aca="false">"Reprobación: "&amp;COUNTIF(DATOS!H2:H21,"Reprobación")</f>
        <v>Reprobación: 3</v>
      </c>
      <c r="J39" s="31"/>
      <c r="K39" s="31"/>
      <c r="L39" s="31" t="str">
        <f aca="false">"Econ.: "&amp;COUNTIF(DATOS!H2:H21,"Problemas económicos")</f>
        <v>Econ.: 2</v>
      </c>
      <c r="M39" s="31"/>
      <c r="N39" s="31"/>
      <c r="O39" s="32" t="str">
        <f aca="false">"Personales: "&amp;COUNTIF(DATOS!H2:H21,"Problemas personales")</f>
        <v>Personales: 1</v>
      </c>
      <c r="P39" s="32"/>
      <c r="Q39" s="32"/>
    </row>
    <row r="40" customFormat="false" ht="15" hidden="false" customHeight="false" outlineLevel="0" collapsed="false">
      <c r="B40" s="13"/>
      <c r="Q40" s="14"/>
    </row>
    <row r="41" customFormat="false" ht="13.5" hidden="false" customHeight="true" outlineLevel="0" collapsed="false">
      <c r="B41" s="33" t="s">
        <v>22</v>
      </c>
      <c r="C41" s="33"/>
      <c r="D41" s="34" t="s">
        <v>23</v>
      </c>
      <c r="E41" s="34"/>
      <c r="F41" s="34"/>
      <c r="G41" s="34"/>
      <c r="H41" s="34"/>
      <c r="I41" s="34"/>
      <c r="J41" s="34" t="s">
        <v>24</v>
      </c>
      <c r="K41" s="34"/>
      <c r="L41" s="34"/>
      <c r="M41" s="34"/>
      <c r="N41" s="34"/>
      <c r="O41" s="35" t="s">
        <v>25</v>
      </c>
      <c r="P41" s="36" t="s">
        <v>26</v>
      </c>
      <c r="Q41" s="36"/>
    </row>
    <row r="42" customFormat="false" ht="12.75" hidden="false" customHeight="true" outlineLevel="0" collapsed="false">
      <c r="B42" s="37" t="str">
        <f aca="false">DATOS!A3</f>
        <v>TIC-240092</v>
      </c>
      <c r="C42" s="37"/>
      <c r="D42" s="38" t="str">
        <f aca="false">DATOS!B3</f>
        <v>Brandon Josué Castañeda Ríos</v>
      </c>
      <c r="E42" s="38"/>
      <c r="F42" s="38"/>
      <c r="G42" s="38"/>
      <c r="H42" s="38"/>
      <c r="I42" s="38"/>
      <c r="J42" s="38" t="str">
        <f aca="false">DATOS!H3</f>
        <v>Reprobación</v>
      </c>
      <c r="K42" s="38"/>
      <c r="L42" s="38"/>
      <c r="M42" s="38"/>
      <c r="N42" s="38"/>
      <c r="O42" s="39" t="n">
        <f aca="false">DATOS!F3</f>
        <v>3</v>
      </c>
      <c r="P42" s="40" t="str">
        <f aca="false">DATOS!G3</f>
        <v>Alto</v>
      </c>
      <c r="Q42" s="40"/>
    </row>
    <row r="43" customFormat="false" ht="12.75" hidden="false" customHeight="true" outlineLevel="0" collapsed="false">
      <c r="B43" s="37" t="str">
        <f aca="false">DATOS!A7</f>
        <v>TIC-240096</v>
      </c>
      <c r="C43" s="37"/>
      <c r="D43" s="38" t="str">
        <f aca="false">DATOS!B7</f>
        <v>Fernando Iván Solórzano Peña</v>
      </c>
      <c r="E43" s="38"/>
      <c r="F43" s="38"/>
      <c r="G43" s="38"/>
      <c r="H43" s="38"/>
      <c r="I43" s="38"/>
      <c r="J43" s="38" t="str">
        <f aca="false">DATOS!H7</f>
        <v>Reprobación</v>
      </c>
      <c r="K43" s="38"/>
      <c r="L43" s="38"/>
      <c r="M43" s="38"/>
      <c r="N43" s="38"/>
      <c r="O43" s="39" t="n">
        <f aca="false">DATOS!F7</f>
        <v>4</v>
      </c>
      <c r="P43" s="40" t="str">
        <f aca="false">DATOS!G7</f>
        <v>Alto</v>
      </c>
      <c r="Q43" s="40"/>
    </row>
    <row r="44" customFormat="false" ht="12.75" hidden="false" customHeight="true" outlineLevel="0" collapsed="false">
      <c r="B44" s="37" t="str">
        <f aca="false">DATOS!A17</f>
        <v>TIC-240106</v>
      </c>
      <c r="C44" s="37"/>
      <c r="D44" s="38" t="str">
        <f aca="false">DATOS!B17</f>
        <v>Pedro Alexis Gómez Uc</v>
      </c>
      <c r="E44" s="38"/>
      <c r="F44" s="38"/>
      <c r="G44" s="38"/>
      <c r="H44" s="38"/>
      <c r="I44" s="38"/>
      <c r="J44" s="38" t="str">
        <f aca="false">DATOS!H17</f>
        <v>Reprobación</v>
      </c>
      <c r="K44" s="38"/>
      <c r="L44" s="38"/>
      <c r="M44" s="38"/>
      <c r="N44" s="38"/>
      <c r="O44" s="39" t="n">
        <f aca="false">DATOS!F17</f>
        <v>2</v>
      </c>
      <c r="P44" s="40" t="str">
        <f aca="false">DATOS!G17</f>
        <v>Alto</v>
      </c>
      <c r="Q44" s="40"/>
    </row>
    <row r="45" customFormat="false" ht="12.75" hidden="false" customHeight="true" outlineLevel="0" collapsed="false">
      <c r="B45" s="37" t="str">
        <f aca="false">DATOS!A9</f>
        <v>TIC-240098</v>
      </c>
      <c r="C45" s="37"/>
      <c r="D45" s="38" t="str">
        <f aca="false">DATOS!B9</f>
        <v>Héctor Manuel Beltrán Osuna</v>
      </c>
      <c r="E45" s="38"/>
      <c r="F45" s="38"/>
      <c r="G45" s="38"/>
      <c r="H45" s="38"/>
      <c r="I45" s="38"/>
      <c r="J45" s="38" t="str">
        <f aca="false">DATOS!H9</f>
        <v>Problemas económicos</v>
      </c>
      <c r="K45" s="38"/>
      <c r="L45" s="38"/>
      <c r="M45" s="38"/>
      <c r="N45" s="38"/>
      <c r="O45" s="39" t="n">
        <f aca="false">DATOS!F9</f>
        <v>2</v>
      </c>
      <c r="P45" s="41" t="str">
        <f aca="false">DATOS!G9</f>
        <v>Medio</v>
      </c>
      <c r="Q45" s="41"/>
    </row>
    <row r="46" customFormat="false" ht="12.75" hidden="false" customHeight="true" outlineLevel="0" collapsed="false">
      <c r="B46" s="37" t="str">
        <f aca="false">DATOS!A13</f>
        <v>TIC-240102</v>
      </c>
      <c r="C46" s="37"/>
      <c r="D46" s="38" t="str">
        <f aca="false">DATOS!B13</f>
        <v>Luis Ángel Mendoza Chi</v>
      </c>
      <c r="E46" s="38"/>
      <c r="F46" s="38"/>
      <c r="G46" s="38"/>
      <c r="H46" s="38"/>
      <c r="I46" s="38"/>
      <c r="J46" s="38" t="str">
        <f aca="false">DATOS!H13</f>
        <v>Problemas personales</v>
      </c>
      <c r="K46" s="38"/>
      <c r="L46" s="38"/>
      <c r="M46" s="38"/>
      <c r="N46" s="38"/>
      <c r="O46" s="39" t="n">
        <f aca="false">DATOS!F13</f>
        <v>3</v>
      </c>
      <c r="P46" s="41" t="str">
        <f aca="false">DATOS!G13</f>
        <v>Medio</v>
      </c>
      <c r="Q46" s="41"/>
    </row>
    <row r="47" customFormat="false" ht="12.75" hidden="false" customHeight="true" outlineLevel="0" collapsed="false">
      <c r="B47" s="37" t="str">
        <f aca="false">DATOS!A20</f>
        <v>TIC-240109</v>
      </c>
      <c r="C47" s="37"/>
      <c r="D47" s="38" t="str">
        <f aca="false">DATOS!B20</f>
        <v>Samantha Nicole Ake Chan</v>
      </c>
      <c r="E47" s="38"/>
      <c r="F47" s="38"/>
      <c r="G47" s="38"/>
      <c r="H47" s="38"/>
      <c r="I47" s="38"/>
      <c r="J47" s="38" t="str">
        <f aca="false">DATOS!H20</f>
        <v>Problemas económicos</v>
      </c>
      <c r="K47" s="38"/>
      <c r="L47" s="38"/>
      <c r="M47" s="38"/>
      <c r="N47" s="38"/>
      <c r="O47" s="39" t="n">
        <f aca="false">DATOS!F20</f>
        <v>0</v>
      </c>
      <c r="P47" s="41" t="str">
        <f aca="false">DATOS!G20</f>
        <v>Medio</v>
      </c>
      <c r="Q47" s="41"/>
    </row>
    <row r="48" customFormat="false" ht="12.75" hidden="false" customHeight="true" outlineLevel="0" collapsed="false">
      <c r="B48" s="37" t="str">
        <f aca="false">DATOS!A5</f>
        <v>TIC-240094</v>
      </c>
      <c r="C48" s="37"/>
      <c r="D48" s="38" t="str">
        <f aca="false">DATOS!B5</f>
        <v>Diego Alejandro Núñez Bravo</v>
      </c>
      <c r="E48" s="38"/>
      <c r="F48" s="38"/>
      <c r="G48" s="38"/>
      <c r="H48" s="38"/>
      <c r="I48" s="38"/>
      <c r="J48" s="38" t="str">
        <f aca="false">DATOS!H5</f>
        <v>Impuntualidad</v>
      </c>
      <c r="K48" s="38"/>
      <c r="L48" s="38"/>
      <c r="M48" s="38"/>
      <c r="N48" s="38"/>
      <c r="O48" s="39" t="n">
        <f aca="false">DATOS!F5</f>
        <v>1</v>
      </c>
      <c r="P48" s="42" t="str">
        <f aca="false">DATOS!G5</f>
        <v>Bajo</v>
      </c>
      <c r="Q48" s="42"/>
    </row>
    <row r="49" customFormat="false" ht="12.75" hidden="false" customHeight="true" outlineLevel="0" collapsed="false">
      <c r="B49" s="37" t="str">
        <f aca="false">DATOS!A11</f>
        <v>TIC-240100</v>
      </c>
      <c r="C49" s="37"/>
      <c r="D49" s="38" t="str">
        <f aca="false">DATOS!B11</f>
        <v>Jorge Emiliano Vargas Cetina</v>
      </c>
      <c r="E49" s="38"/>
      <c r="F49" s="38"/>
      <c r="G49" s="38"/>
      <c r="H49" s="38"/>
      <c r="I49" s="38"/>
      <c r="J49" s="38" t="str">
        <f aca="false">DATOS!H11</f>
        <v>Ausentismo</v>
      </c>
      <c r="K49" s="38"/>
      <c r="L49" s="38"/>
      <c r="M49" s="38"/>
      <c r="N49" s="38"/>
      <c r="O49" s="39" t="n">
        <f aca="false">DATOS!F11</f>
        <v>1</v>
      </c>
      <c r="P49" s="42" t="str">
        <f aca="false">DATOS!G11</f>
        <v>Bajo</v>
      </c>
      <c r="Q49" s="42"/>
    </row>
    <row r="50" customFormat="false" ht="15" hidden="false" customHeight="false" outlineLevel="0" collapsed="false">
      <c r="B50" s="13"/>
      <c r="Q50" s="14"/>
    </row>
    <row r="51" customFormat="false" ht="15" hidden="false" customHeight="false" outlineLevel="0" collapsed="false">
      <c r="B51" s="13"/>
      <c r="Q51" s="14"/>
    </row>
    <row r="52" customFormat="false" ht="15.75" hidden="false" customHeight="true" outlineLevel="0" collapsed="false">
      <c r="B52" s="29" t="s">
        <v>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</row>
    <row r="53" customFormat="false" ht="12.75" hidden="false" customHeight="true" outlineLevel="0" collapsed="false">
      <c r="B53" s="43" t="s">
        <v>28</v>
      </c>
      <c r="C53" s="44" t="s">
        <v>29</v>
      </c>
      <c r="D53" s="44"/>
      <c r="E53" s="44"/>
      <c r="F53" s="45" t="s">
        <v>30</v>
      </c>
      <c r="G53" s="45" t="s">
        <v>31</v>
      </c>
      <c r="H53" s="45" t="s">
        <v>32</v>
      </c>
      <c r="J53" s="45" t="s">
        <v>28</v>
      </c>
      <c r="K53" s="44" t="s">
        <v>29</v>
      </c>
      <c r="L53" s="44"/>
      <c r="M53" s="44"/>
      <c r="N53" s="45" t="s">
        <v>30</v>
      </c>
      <c r="O53" s="45" t="s">
        <v>31</v>
      </c>
      <c r="P53" s="45" t="s">
        <v>32</v>
      </c>
      <c r="Q53" s="14"/>
    </row>
    <row r="54" customFormat="false" ht="12" hidden="false" customHeight="true" outlineLevel="0" collapsed="false">
      <c r="B54" s="46" t="str">
        <f aca="false">RIGHT(DATOS!A2,3)</f>
        <v>091</v>
      </c>
      <c r="C54" s="47" t="str">
        <f aca="false">DATOS!B2</f>
        <v>Abigail Montserrat Flores Rubio</v>
      </c>
      <c r="D54" s="47"/>
      <c r="E54" s="47"/>
      <c r="F54" s="48" t="str">
        <f aca="false">TEXT(DATOS!D2,"0.0")</f>
        <v>9.2</v>
      </c>
      <c r="G54" s="48" t="str">
        <f aca="false">IFERROR(_xlfn.SWITCH(DATOS!E2,"Realizada","Real.","Programada","Prog.","Sin tutoría","S/T",DATOS!E2),DATOS!E2)</f>
        <v>Real.</v>
      </c>
      <c r="H54" s="48" t="str">
        <f aca="false">LEFT(DATOS!G2,1)</f>
        <v>N</v>
      </c>
      <c r="J54" s="48" t="str">
        <f aca="false">RIGHT(DATOS!A12,3)</f>
        <v>101</v>
      </c>
      <c r="K54" s="47" t="str">
        <f aca="false">DATOS!B12</f>
        <v>Karla Ximena Delgado Puc</v>
      </c>
      <c r="L54" s="47"/>
      <c r="M54" s="47"/>
      <c r="N54" s="48" t="str">
        <f aca="false">TEXT(DATOS!D12,"0.0")</f>
        <v>9.4</v>
      </c>
      <c r="O54" s="48" t="str">
        <f aca="false">IFERROR(_xlfn.SWITCH(DATOS!E12,"Realizada","Real.","Programada","Prog.","Sin tutoría","S/T",DATOS!E12),DATOS!E12)</f>
        <v>Real.</v>
      </c>
      <c r="P54" s="48" t="str">
        <f aca="false">LEFT(DATOS!G12,1)</f>
        <v>N</v>
      </c>
      <c r="Q54" s="14"/>
    </row>
    <row r="55" customFormat="false" ht="12" hidden="false" customHeight="true" outlineLevel="0" collapsed="false">
      <c r="B55" s="49" t="str">
        <f aca="false">RIGHT(DATOS!A3,3)</f>
        <v>092</v>
      </c>
      <c r="C55" s="50" t="str">
        <f aca="false">DATOS!B3</f>
        <v>Brandon Josué Castañeda Ríos</v>
      </c>
      <c r="D55" s="50"/>
      <c r="E55" s="50"/>
      <c r="F55" s="51" t="str">
        <f aca="false">TEXT(DATOS!D3,"0.0")</f>
        <v>6.1</v>
      </c>
      <c r="G55" s="51" t="str">
        <f aca="false">IFERROR(_xlfn.SWITCH(DATOS!E3,"Realizada","Real.","Programada","Prog.","Sin tutoría","S/T",DATOS!E3),DATOS!E3)</f>
        <v>Real.</v>
      </c>
      <c r="H55" s="51" t="str">
        <f aca="false">LEFT(DATOS!G3,1)</f>
        <v>A</v>
      </c>
      <c r="J55" s="51" t="str">
        <f aca="false">RIGHT(DATOS!A13,3)</f>
        <v>102</v>
      </c>
      <c r="K55" s="50" t="str">
        <f aca="false">DATOS!B13</f>
        <v>Luis Ángel Mendoza Chi</v>
      </c>
      <c r="L55" s="50"/>
      <c r="M55" s="50"/>
      <c r="N55" s="51" t="str">
        <f aca="false">TEXT(DATOS!D13,"0.0")</f>
        <v>6.4</v>
      </c>
      <c r="O55" s="51" t="str">
        <f aca="false">IFERROR(_xlfn.SWITCH(DATOS!E13,"Realizada","Real.","Programada","Prog.","Sin tutoría","S/T",DATOS!E13),DATOS!E13)</f>
        <v>Real.</v>
      </c>
      <c r="P55" s="51" t="str">
        <f aca="false">LEFT(DATOS!G13,1)</f>
        <v>M</v>
      </c>
      <c r="Q55" s="14"/>
    </row>
    <row r="56" customFormat="false" ht="12" hidden="false" customHeight="true" outlineLevel="0" collapsed="false">
      <c r="B56" s="46" t="str">
        <f aca="false">RIGHT(DATOS!A4,3)</f>
        <v>093</v>
      </c>
      <c r="C56" s="47" t="str">
        <f aca="false">DATOS!B4</f>
        <v>Camila Fernanda López Torres</v>
      </c>
      <c r="D56" s="47"/>
      <c r="E56" s="47"/>
      <c r="F56" s="48" t="str">
        <f aca="false">TEXT(DATOS!D4,"0.0")</f>
        <v>8.6</v>
      </c>
      <c r="G56" s="48" t="str">
        <f aca="false">IFERROR(_xlfn.SWITCH(DATOS!E4,"Realizada","Real.","Programada","Prog.","Sin tutoría","S/T",DATOS!E4),DATOS!E4)</f>
        <v>Real.</v>
      </c>
      <c r="H56" s="48" t="str">
        <f aca="false">LEFT(DATOS!G4,1)</f>
        <v>N</v>
      </c>
      <c r="J56" s="48" t="str">
        <f aca="false">RIGHT(DATOS!A14,3)</f>
        <v>103</v>
      </c>
      <c r="K56" s="47" t="str">
        <f aca="false">DATOS!B14</f>
        <v>María José Aguilar Tun</v>
      </c>
      <c r="L56" s="47"/>
      <c r="M56" s="47"/>
      <c r="N56" s="48" t="str">
        <f aca="false">TEXT(DATOS!D14,"0.0")</f>
        <v>8.3</v>
      </c>
      <c r="O56" s="48" t="str">
        <f aca="false">IFERROR(_xlfn.SWITCH(DATOS!E14,"Realizada","Real.","Programada","Prog.","Sin tutoría","S/T",DATOS!E14),DATOS!E14)</f>
        <v>S/T</v>
      </c>
      <c r="P56" s="48" t="str">
        <f aca="false">LEFT(DATOS!G14,1)</f>
        <v>N</v>
      </c>
      <c r="Q56" s="14"/>
    </row>
    <row r="57" customFormat="false" ht="12" hidden="false" customHeight="true" outlineLevel="0" collapsed="false">
      <c r="B57" s="49" t="str">
        <f aca="false">RIGHT(DATOS!A5,3)</f>
        <v>094</v>
      </c>
      <c r="C57" s="50" t="str">
        <f aca="false">DATOS!B5</f>
        <v>Diego Alejandro Núñez Bravo</v>
      </c>
      <c r="D57" s="50"/>
      <c r="E57" s="50"/>
      <c r="F57" s="51" t="str">
        <f aca="false">TEXT(DATOS!D5,"0.0")</f>
        <v>7.4</v>
      </c>
      <c r="G57" s="51" t="str">
        <f aca="false">IFERROR(_xlfn.SWITCH(DATOS!E5,"Realizada","Real.","Programada","Prog.","Sin tutoría","S/T",DATOS!E5),DATOS!E5)</f>
        <v>Prog.</v>
      </c>
      <c r="H57" s="51" t="str">
        <f aca="false">LEFT(DATOS!G5,1)</f>
        <v>B</v>
      </c>
      <c r="J57" s="51" t="str">
        <f aca="false">RIGHT(DATOS!A15,3)</f>
        <v>104</v>
      </c>
      <c r="K57" s="50" t="str">
        <f aca="false">DATOS!B15</f>
        <v>Néstor Iván Cruz Balam</v>
      </c>
      <c r="L57" s="50"/>
      <c r="M57" s="50"/>
      <c r="N57" s="51" t="str">
        <f aca="false">TEXT(DATOS!D15,"0.0")</f>
        <v>7.6</v>
      </c>
      <c r="O57" s="51" t="str">
        <f aca="false">IFERROR(_xlfn.SWITCH(DATOS!E15,"Realizada","Real.","Programada","Prog.","Sin tutoría","S/T",DATOS!E15),DATOS!E15)</f>
        <v>Real.</v>
      </c>
      <c r="P57" s="51" t="str">
        <f aca="false">LEFT(DATOS!G15,1)</f>
        <v>N</v>
      </c>
      <c r="Q57" s="14"/>
    </row>
    <row r="58" customFormat="false" ht="12" hidden="false" customHeight="true" outlineLevel="0" collapsed="false">
      <c r="B58" s="46" t="str">
        <f aca="false">RIGHT(DATOS!A6,3)</f>
        <v>095</v>
      </c>
      <c r="C58" s="47" t="str">
        <f aca="false">DATOS!B6</f>
        <v>Elena Sofía Ramírez Gaona</v>
      </c>
      <c r="D58" s="47"/>
      <c r="E58" s="47"/>
      <c r="F58" s="48" t="str">
        <f aca="false">TEXT(DATOS!D6,"0.0")</f>
        <v>9.0</v>
      </c>
      <c r="G58" s="48" t="str">
        <f aca="false">IFERROR(_xlfn.SWITCH(DATOS!E6,"Realizada","Real.","Programada","Prog.","Sin tutoría","S/T",DATOS!E6),DATOS!E6)</f>
        <v>Real.</v>
      </c>
      <c r="H58" s="48" t="str">
        <f aca="false">LEFT(DATOS!G6,1)</f>
        <v>N</v>
      </c>
      <c r="J58" s="48" t="str">
        <f aca="false">RIGHT(DATOS!A16,3)</f>
        <v>105</v>
      </c>
      <c r="K58" s="47" t="str">
        <f aca="false">DATOS!B16</f>
        <v>Olivia Renata Pech Dzul</v>
      </c>
      <c r="L58" s="47"/>
      <c r="M58" s="47"/>
      <c r="N58" s="48" t="str">
        <f aca="false">TEXT(DATOS!D16,"0.0")</f>
        <v>8.9</v>
      </c>
      <c r="O58" s="48" t="str">
        <f aca="false">IFERROR(_xlfn.SWITCH(DATOS!E16,"Realizada","Real.","Programada","Prog.","Sin tutoría","S/T",DATOS!E16),DATOS!E16)</f>
        <v>Real.</v>
      </c>
      <c r="P58" s="48" t="str">
        <f aca="false">LEFT(DATOS!G16,1)</f>
        <v>N</v>
      </c>
      <c r="Q58" s="14"/>
    </row>
    <row r="59" customFormat="false" ht="12" hidden="false" customHeight="true" outlineLevel="0" collapsed="false">
      <c r="B59" s="49" t="str">
        <f aca="false">RIGHT(DATOS!A7,3)</f>
        <v>096</v>
      </c>
      <c r="C59" s="50" t="str">
        <f aca="false">DATOS!B7</f>
        <v>Fernando Iván Solórzano Peña</v>
      </c>
      <c r="D59" s="50"/>
      <c r="E59" s="50"/>
      <c r="F59" s="51" t="str">
        <f aca="false">TEXT(DATOS!D7,"0.0")</f>
        <v>5.8</v>
      </c>
      <c r="G59" s="51" t="str">
        <f aca="false">IFERROR(_xlfn.SWITCH(DATOS!E7,"Realizada","Real.","Programada","Prog.","Sin tutoría","S/T",DATOS!E7),DATOS!E7)</f>
        <v>Real.</v>
      </c>
      <c r="H59" s="51" t="str">
        <f aca="false">LEFT(DATOS!G7,1)</f>
        <v>A</v>
      </c>
      <c r="J59" s="51" t="str">
        <f aca="false">RIGHT(DATOS!A17,3)</f>
        <v>106</v>
      </c>
      <c r="K59" s="50" t="str">
        <f aca="false">DATOS!B17</f>
        <v>Pedro Alexis Gómez Uc</v>
      </c>
      <c r="L59" s="50"/>
      <c r="M59" s="50"/>
      <c r="N59" s="51" t="str">
        <f aca="false">TEXT(DATOS!D17,"0.0")</f>
        <v>5.6</v>
      </c>
      <c r="O59" s="51" t="str">
        <f aca="false">IFERROR(_xlfn.SWITCH(DATOS!E17,"Realizada","Real.","Programada","Prog.","Sin tutoría","S/T",DATOS!E17),DATOS!E17)</f>
        <v>Prog.</v>
      </c>
      <c r="P59" s="51" t="str">
        <f aca="false">LEFT(DATOS!G17,1)</f>
        <v>A</v>
      </c>
      <c r="Q59" s="14"/>
    </row>
    <row r="60" customFormat="false" ht="12" hidden="false" customHeight="true" outlineLevel="0" collapsed="false">
      <c r="B60" s="46" t="str">
        <f aca="false">RIGHT(DATOS!A8,3)</f>
        <v>097</v>
      </c>
      <c r="C60" s="47" t="str">
        <f aca="false">DATOS!B8</f>
        <v>Gabriela Itzel Contreras May</v>
      </c>
      <c r="D60" s="47"/>
      <c r="E60" s="47"/>
      <c r="F60" s="48" t="str">
        <f aca="false">TEXT(DATOS!D8,"0.0")</f>
        <v>8.1</v>
      </c>
      <c r="G60" s="48" t="str">
        <f aca="false">IFERROR(_xlfn.SWITCH(DATOS!E8,"Realizada","Real.","Programada","Prog.","Sin tutoría","S/T",DATOS!E8),DATOS!E8)</f>
        <v>S/T</v>
      </c>
      <c r="H60" s="48" t="str">
        <f aca="false">LEFT(DATOS!G8,1)</f>
        <v>N</v>
      </c>
      <c r="J60" s="48" t="str">
        <f aca="false">RIGHT(DATOS!A18,3)</f>
        <v>107</v>
      </c>
      <c r="K60" s="47" t="str">
        <f aca="false">DATOS!B18</f>
        <v>Quetzal Yamileth Poot Kú</v>
      </c>
      <c r="L60" s="47"/>
      <c r="M60" s="47"/>
      <c r="N60" s="48" t="str">
        <f aca="false">TEXT(DATOS!D18,"0.0")</f>
        <v>7.2</v>
      </c>
      <c r="O60" s="48" t="str">
        <f aca="false">IFERROR(_xlfn.SWITCH(DATOS!E18,"Realizada","Real.","Programada","Prog.","Sin tutoría","S/T",DATOS!E18),DATOS!E18)</f>
        <v>Real.</v>
      </c>
      <c r="P60" s="48" t="str">
        <f aca="false">LEFT(DATOS!G18,1)</f>
        <v>N</v>
      </c>
      <c r="Q60" s="14"/>
    </row>
    <row r="61" customFormat="false" ht="12" hidden="false" customHeight="true" outlineLevel="0" collapsed="false">
      <c r="B61" s="49" t="str">
        <f aca="false">RIGHT(DATOS!A9,3)</f>
        <v>098</v>
      </c>
      <c r="C61" s="50" t="str">
        <f aca="false">DATOS!B9</f>
        <v>Héctor Manuel Beltrán Osuna</v>
      </c>
      <c r="D61" s="50"/>
      <c r="E61" s="50"/>
      <c r="F61" s="51" t="str">
        <f aca="false">TEXT(DATOS!D9,"0.0")</f>
        <v>6.9</v>
      </c>
      <c r="G61" s="51" t="str">
        <f aca="false">IFERROR(_xlfn.SWITCH(DATOS!E9,"Realizada","Real.","Programada","Prog.","Sin tutoría","S/T",DATOS!E9),DATOS!E9)</f>
        <v>Real.</v>
      </c>
      <c r="H61" s="51" t="str">
        <f aca="false">LEFT(DATOS!G9,1)</f>
        <v>M</v>
      </c>
      <c r="J61" s="51" t="str">
        <f aca="false">RIGHT(DATOS!A19,3)</f>
        <v>108</v>
      </c>
      <c r="K61" s="50" t="str">
        <f aca="false">DATOS!B19</f>
        <v>Ricardo Alonso Herrera Cob</v>
      </c>
      <c r="L61" s="50"/>
      <c r="M61" s="50"/>
      <c r="N61" s="51" t="str">
        <f aca="false">TEXT(DATOS!D19,"0.0")</f>
        <v>8.5</v>
      </c>
      <c r="O61" s="51" t="str">
        <f aca="false">IFERROR(_xlfn.SWITCH(DATOS!E19,"Realizada","Real.","Programada","Prog.","Sin tutoría","S/T",DATOS!E19),DATOS!E19)</f>
        <v>Real.</v>
      </c>
      <c r="P61" s="51" t="str">
        <f aca="false">LEFT(DATOS!G19,1)</f>
        <v>N</v>
      </c>
      <c r="Q61" s="14"/>
    </row>
    <row r="62" customFormat="false" ht="12" hidden="false" customHeight="true" outlineLevel="0" collapsed="false">
      <c r="B62" s="46" t="str">
        <f aca="false">RIGHT(DATOS!A10,3)</f>
        <v>099</v>
      </c>
      <c r="C62" s="47" t="str">
        <f aca="false">DATOS!B10</f>
        <v>Ivonne Paola Cárdenas Zúñiga</v>
      </c>
      <c r="D62" s="47"/>
      <c r="E62" s="47"/>
      <c r="F62" s="48" t="str">
        <f aca="false">TEXT(DATOS!D10,"0.0")</f>
        <v>8.8</v>
      </c>
      <c r="G62" s="48" t="str">
        <f aca="false">IFERROR(_xlfn.SWITCH(DATOS!E10,"Realizada","Real.","Programada","Prog.","Sin tutoría","S/T",DATOS!E10),DATOS!E10)</f>
        <v>Real.</v>
      </c>
      <c r="H62" s="48" t="str">
        <f aca="false">LEFT(DATOS!G10,1)</f>
        <v>N</v>
      </c>
      <c r="J62" s="48" t="str">
        <f aca="false">RIGHT(DATOS!A20,3)</f>
        <v>109</v>
      </c>
      <c r="K62" s="47" t="str">
        <f aca="false">DATOS!B20</f>
        <v>Samantha Nicole Ake Chan</v>
      </c>
      <c r="L62" s="47"/>
      <c r="M62" s="47"/>
      <c r="N62" s="48" t="str">
        <f aca="false">TEXT(DATOS!D20,"0.0")</f>
        <v>6.7</v>
      </c>
      <c r="O62" s="48" t="str">
        <f aca="false">IFERROR(_xlfn.SWITCH(DATOS!E20,"Realizada","Real.","Programada","Prog.","Sin tutoría","S/T",DATOS!E20),DATOS!E20)</f>
        <v>S/T</v>
      </c>
      <c r="P62" s="48" t="str">
        <f aca="false">LEFT(DATOS!G20,1)</f>
        <v>M</v>
      </c>
      <c r="Q62" s="14"/>
    </row>
    <row r="63" customFormat="false" ht="12" hidden="false" customHeight="true" outlineLevel="0" collapsed="false">
      <c r="B63" s="49" t="str">
        <f aca="false">RIGHT(DATOS!A11,3)</f>
        <v>100</v>
      </c>
      <c r="C63" s="50" t="str">
        <f aca="false">DATOS!B11</f>
        <v>Jorge Emiliano Vargas Cetina</v>
      </c>
      <c r="D63" s="50"/>
      <c r="E63" s="50"/>
      <c r="F63" s="51" t="str">
        <f aca="false">TEXT(DATOS!D11,"0.0")</f>
        <v>7.9</v>
      </c>
      <c r="G63" s="51" t="str">
        <f aca="false">IFERROR(_xlfn.SWITCH(DATOS!E11,"Realizada","Real.","Programada","Prog.","Sin tutoría","S/T",DATOS!E11),DATOS!E11)</f>
        <v>Prog.</v>
      </c>
      <c r="H63" s="51" t="str">
        <f aca="false">LEFT(DATOS!G11,1)</f>
        <v>B</v>
      </c>
      <c r="J63" s="51" t="str">
        <f aca="false">RIGHT(DATOS!A21,3)</f>
        <v>110</v>
      </c>
      <c r="K63" s="50" t="str">
        <f aca="false">DATOS!B21</f>
        <v>Tomás Eduardo Yam Canul</v>
      </c>
      <c r="L63" s="50"/>
      <c r="M63" s="50"/>
      <c r="N63" s="51" t="str">
        <f aca="false">TEXT(DATOS!D21,"0.0")</f>
        <v>8.0</v>
      </c>
      <c r="O63" s="51" t="str">
        <f aca="false">IFERROR(_xlfn.SWITCH(DATOS!E21,"Realizada","Real.","Programada","Prog.","Sin tutoría","S/T",DATOS!E21),DATOS!E21)</f>
        <v>Real.</v>
      </c>
      <c r="P63" s="51" t="str">
        <f aca="false">LEFT(DATOS!G21,1)</f>
        <v>N</v>
      </c>
      <c r="Q63" s="14"/>
    </row>
    <row r="64" customFormat="false" ht="15" hidden="false" customHeight="false" outlineLevel="0" collapsed="false">
      <c r="B64" s="13"/>
      <c r="Q64" s="14"/>
    </row>
    <row r="65" customFormat="false" ht="19.5" hidden="false" customHeight="true" outlineLevel="0" collapsed="false">
      <c r="B65" s="52" t="s">
        <v>33</v>
      </c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</row>
  </sheetData>
  <mergeCells count="90">
    <mergeCell ref="C2:P2"/>
    <mergeCell ref="C3:P3"/>
    <mergeCell ref="C4:P4"/>
    <mergeCell ref="B6:Q6"/>
    <mergeCell ref="C7:E7"/>
    <mergeCell ref="G7:M7"/>
    <mergeCell ref="O7:Q7"/>
    <mergeCell ref="B11:E11"/>
    <mergeCell ref="F11:I11"/>
    <mergeCell ref="J11:M11"/>
    <mergeCell ref="N11:Q11"/>
    <mergeCell ref="B12:E12"/>
    <mergeCell ref="F12:I12"/>
    <mergeCell ref="J12:M12"/>
    <mergeCell ref="N12:Q12"/>
    <mergeCell ref="B14:L14"/>
    <mergeCell ref="M14:Q14"/>
    <mergeCell ref="M27:Q27"/>
    <mergeCell ref="N28:O28"/>
    <mergeCell ref="P28:Q28"/>
    <mergeCell ref="N29:O29"/>
    <mergeCell ref="P29:Q29"/>
    <mergeCell ref="N30:O30"/>
    <mergeCell ref="P30:Q30"/>
    <mergeCell ref="B38:Q38"/>
    <mergeCell ref="B39:E39"/>
    <mergeCell ref="F39:H39"/>
    <mergeCell ref="I39:K39"/>
    <mergeCell ref="L39:N39"/>
    <mergeCell ref="O39:Q39"/>
    <mergeCell ref="B41:C41"/>
    <mergeCell ref="D41:I41"/>
    <mergeCell ref="J41:N41"/>
    <mergeCell ref="P41:Q41"/>
    <mergeCell ref="B42:C42"/>
    <mergeCell ref="D42:I42"/>
    <mergeCell ref="J42:N42"/>
    <mergeCell ref="P42:Q42"/>
    <mergeCell ref="B43:C43"/>
    <mergeCell ref="D43:I43"/>
    <mergeCell ref="J43:N43"/>
    <mergeCell ref="P43:Q43"/>
    <mergeCell ref="B44:C44"/>
    <mergeCell ref="D44:I44"/>
    <mergeCell ref="J44:N44"/>
    <mergeCell ref="P44:Q44"/>
    <mergeCell ref="B45:C45"/>
    <mergeCell ref="D45:I45"/>
    <mergeCell ref="J45:N45"/>
    <mergeCell ref="P45:Q45"/>
    <mergeCell ref="B46:C46"/>
    <mergeCell ref="D46:I46"/>
    <mergeCell ref="J46:N46"/>
    <mergeCell ref="P46:Q46"/>
    <mergeCell ref="B47:C47"/>
    <mergeCell ref="D47:I47"/>
    <mergeCell ref="J47:N47"/>
    <mergeCell ref="P47:Q47"/>
    <mergeCell ref="B48:C48"/>
    <mergeCell ref="D48:I48"/>
    <mergeCell ref="J48:N48"/>
    <mergeCell ref="P48:Q48"/>
    <mergeCell ref="B49:C49"/>
    <mergeCell ref="D49:I49"/>
    <mergeCell ref="J49:N49"/>
    <mergeCell ref="P49:Q49"/>
    <mergeCell ref="B52:Q52"/>
    <mergeCell ref="C53:E53"/>
    <mergeCell ref="K53:M53"/>
    <mergeCell ref="C54:E54"/>
    <mergeCell ref="K54:M54"/>
    <mergeCell ref="C55:E55"/>
    <mergeCell ref="K55:M55"/>
    <mergeCell ref="C56:E56"/>
    <mergeCell ref="K56:M56"/>
    <mergeCell ref="C57:E57"/>
    <mergeCell ref="K57:M57"/>
    <mergeCell ref="C58:E58"/>
    <mergeCell ref="K58:M58"/>
    <mergeCell ref="C59:E59"/>
    <mergeCell ref="K59:M59"/>
    <mergeCell ref="C60:E60"/>
    <mergeCell ref="K60:M60"/>
    <mergeCell ref="C61:E61"/>
    <mergeCell ref="K61:M61"/>
    <mergeCell ref="C62:E62"/>
    <mergeCell ref="K62:M62"/>
    <mergeCell ref="C63:E63"/>
    <mergeCell ref="K63:M63"/>
    <mergeCell ref="B65:Q65"/>
  </mergeCells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7" min="2" style="0" width="6.3"/>
    <col collapsed="false" customWidth="true" hidden="false" outlineLevel="0" max="18" min="18" style="0" width="3"/>
  </cols>
  <sheetData>
    <row r="1" customFormat="false" ht="6" hidden="false" customHeight="true" outlineLevel="0" collapsed="false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</row>
    <row r="2" customFormat="false" ht="24" hidden="false" customHeight="true" outlineLevel="0" collapsed="false">
      <c r="A2" s="1"/>
      <c r="B2" s="2"/>
      <c r="C2" s="5" t="s"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4"/>
      <c r="R2" s="1"/>
    </row>
    <row r="3" customFormat="false" ht="16.5" hidden="false" customHeight="true" outlineLevel="0" collapsed="false">
      <c r="A3" s="1"/>
      <c r="B3" s="2"/>
      <c r="C3" s="6" t="s">
        <v>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4"/>
      <c r="R3" s="1"/>
    </row>
    <row r="4" customFormat="false" ht="12.75" hidden="false" customHeight="true" outlineLevel="0" collapsed="false">
      <c r="A4" s="1"/>
      <c r="B4" s="2"/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4"/>
      <c r="R4" s="1"/>
    </row>
    <row r="5" customFormat="false" ht="4.5" hidden="false" customHeight="true" outlineLevel="0" collapsed="false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4"/>
      <c r="R5" s="1"/>
    </row>
    <row r="6" customFormat="false" ht="18.75" hidden="false" customHeight="true" outlineLevel="0" collapsed="false">
      <c r="A6" s="1"/>
      <c r="B6" s="8" t="s">
        <v>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1"/>
    </row>
    <row r="7" customFormat="false" ht="16.5" hidden="false" customHeight="true" outlineLevel="0" collapsed="false">
      <c r="A7" s="1"/>
      <c r="B7" s="9" t="s">
        <v>4</v>
      </c>
      <c r="C7" s="10" t="s">
        <v>5</v>
      </c>
      <c r="D7" s="10"/>
      <c r="E7" s="10"/>
      <c r="F7" s="11" t="s">
        <v>6</v>
      </c>
      <c r="G7" s="10" t="s">
        <v>7</v>
      </c>
      <c r="H7" s="10"/>
      <c r="I7" s="10"/>
      <c r="J7" s="10"/>
      <c r="K7" s="10"/>
      <c r="L7" s="10"/>
      <c r="M7" s="10"/>
      <c r="N7" s="11" t="s">
        <v>8</v>
      </c>
      <c r="O7" s="12" t="s">
        <v>9</v>
      </c>
      <c r="P7" s="12"/>
      <c r="Q7" s="12"/>
      <c r="R7" s="1"/>
    </row>
    <row r="8" customFormat="false" ht="6" hidden="false" customHeight="true" outlineLevel="0" collapsed="false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4"/>
      <c r="R8" s="1"/>
    </row>
    <row r="9" customFormat="false" ht="15" hidden="false" customHeight="false" outlineLevel="0" collapsed="false">
      <c r="B9" s="13"/>
      <c r="Q9" s="14"/>
    </row>
    <row r="10" customFormat="false" ht="3.75" hidden="false" customHeight="true" outlineLevel="0" collapsed="false">
      <c r="B10" s="13"/>
      <c r="Q10" s="14"/>
    </row>
    <row r="11" customFormat="false" ht="13.5" hidden="false" customHeight="true" outlineLevel="0" collapsed="false">
      <c r="B11" s="15" t="s">
        <v>10</v>
      </c>
      <c r="C11" s="15"/>
      <c r="D11" s="15"/>
      <c r="E11" s="15"/>
      <c r="F11" s="16" t="s">
        <v>11</v>
      </c>
      <c r="G11" s="16"/>
      <c r="H11" s="16"/>
      <c r="I11" s="16"/>
      <c r="J11" s="16" t="s">
        <v>12</v>
      </c>
      <c r="K11" s="16"/>
      <c r="L11" s="16"/>
      <c r="M11" s="16"/>
      <c r="N11" s="17" t="s">
        <v>13</v>
      </c>
      <c r="O11" s="17"/>
      <c r="P11" s="17"/>
      <c r="Q11" s="17"/>
    </row>
    <row r="12" customFormat="false" ht="21.75" hidden="false" customHeight="true" outlineLevel="0" collapsed="false">
      <c r="B12" s="18" t="n">
        <f aca="false">COUNTA(DATOS!A2:A21)</f>
        <v>20</v>
      </c>
      <c r="C12" s="18"/>
      <c r="D12" s="18"/>
      <c r="E12" s="18"/>
      <c r="F12" s="19" t="n">
        <f aca="false">ROUND(AVERAGE(DATOS!D2:D21),1)</f>
        <v>7.7</v>
      </c>
      <c r="G12" s="19"/>
      <c r="H12" s="19"/>
      <c r="I12" s="19"/>
      <c r="J12" s="19" t="n">
        <f aca="false">COUNTIF(DATOS!E2:E21,"&lt;&gt;Sin tutoría")</f>
        <v>17</v>
      </c>
      <c r="K12" s="19"/>
      <c r="L12" s="19"/>
      <c r="M12" s="19"/>
      <c r="N12" s="20" t="n">
        <f aca="false">COUNTIF(DATOS!G2:G21,"&lt;&gt;Ninguno")</f>
        <v>8</v>
      </c>
      <c r="O12" s="20"/>
      <c r="P12" s="20"/>
      <c r="Q12" s="20"/>
    </row>
    <row r="13" customFormat="false" ht="15" hidden="false" customHeight="false" outlineLevel="0" collapsed="false">
      <c r="B13" s="13"/>
      <c r="Q13" s="14"/>
    </row>
    <row r="14" customFormat="false" ht="15.75" hidden="false" customHeight="true" outlineLevel="0" collapsed="false">
      <c r="B14" s="21" t="s">
        <v>14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2" t="s">
        <v>15</v>
      </c>
      <c r="N14" s="22"/>
      <c r="O14" s="22"/>
      <c r="P14" s="22"/>
      <c r="Q14" s="22"/>
    </row>
    <row r="15" customFormat="false" ht="12" hidden="false" customHeight="true" outlineLevel="0" collapsed="false">
      <c r="B15" s="13"/>
      <c r="Q15" s="14"/>
    </row>
    <row r="16" customFormat="false" ht="12" hidden="false" customHeight="true" outlineLevel="0" collapsed="false">
      <c r="B16" s="13"/>
      <c r="Q16" s="14"/>
    </row>
    <row r="17" customFormat="false" ht="12" hidden="false" customHeight="true" outlineLevel="0" collapsed="false">
      <c r="B17" s="13"/>
      <c r="Q17" s="14"/>
    </row>
    <row r="18" customFormat="false" ht="12" hidden="false" customHeight="true" outlineLevel="0" collapsed="false">
      <c r="B18" s="13"/>
      <c r="Q18" s="14"/>
    </row>
    <row r="19" customFormat="false" ht="12" hidden="false" customHeight="true" outlineLevel="0" collapsed="false">
      <c r="B19" s="13"/>
      <c r="Q19" s="14"/>
    </row>
    <row r="20" customFormat="false" ht="12" hidden="false" customHeight="true" outlineLevel="0" collapsed="false">
      <c r="B20" s="13"/>
      <c r="Q20" s="14"/>
    </row>
    <row r="21" customFormat="false" ht="12" hidden="false" customHeight="true" outlineLevel="0" collapsed="false">
      <c r="B21" s="13"/>
      <c r="Q21" s="14"/>
    </row>
    <row r="22" customFormat="false" ht="12" hidden="false" customHeight="true" outlineLevel="0" collapsed="false">
      <c r="B22" s="13"/>
      <c r="Q22" s="14"/>
    </row>
    <row r="23" customFormat="false" ht="12" hidden="false" customHeight="true" outlineLevel="0" collapsed="false">
      <c r="B23" s="13"/>
      <c r="Q23" s="14"/>
    </row>
    <row r="24" customFormat="false" ht="12" hidden="false" customHeight="true" outlineLevel="0" collapsed="false">
      <c r="B24" s="13"/>
      <c r="Q24" s="14"/>
    </row>
    <row r="25" customFormat="false" ht="12" hidden="false" customHeight="true" outlineLevel="0" collapsed="false">
      <c r="B25" s="13"/>
      <c r="Q25" s="14"/>
    </row>
    <row r="26" customFormat="false" ht="12" hidden="false" customHeight="true" outlineLevel="0" collapsed="false">
      <c r="B26" s="13"/>
      <c r="Q26" s="14"/>
    </row>
    <row r="27" customFormat="false" ht="12" hidden="false" customHeight="true" outlineLevel="0" collapsed="false">
      <c r="B27" s="13"/>
      <c r="M27" s="23" t="s">
        <v>16</v>
      </c>
      <c r="N27" s="23"/>
      <c r="O27" s="23"/>
      <c r="P27" s="23"/>
      <c r="Q27" s="23"/>
    </row>
    <row r="28" customFormat="false" ht="12" hidden="false" customHeight="true" outlineLevel="0" collapsed="false">
      <c r="B28" s="13"/>
      <c r="M28" s="24" t="s">
        <v>17</v>
      </c>
      <c r="N28" s="25" t="s">
        <v>18</v>
      </c>
      <c r="O28" s="25"/>
      <c r="P28" s="26" t="str">
        <f aca="false">DATOS!K2&amp;" ("&amp;TEXT(DATOS!K2/20,"0%")&amp;")"</f>
        <v>14 (70%)</v>
      </c>
      <c r="Q28" s="26"/>
    </row>
    <row r="29" customFormat="false" ht="12" hidden="false" customHeight="true" outlineLevel="0" collapsed="false">
      <c r="B29" s="13"/>
      <c r="M29" s="27" t="s">
        <v>17</v>
      </c>
      <c r="N29" s="25" t="s">
        <v>19</v>
      </c>
      <c r="O29" s="25"/>
      <c r="P29" s="26" t="str">
        <f aca="false">DATOS!K3&amp;" ("&amp;TEXT(DATOS!K3/20,"0%")&amp;")"</f>
        <v>3 (15%)</v>
      </c>
      <c r="Q29" s="26"/>
    </row>
    <row r="30" customFormat="false" ht="12" hidden="false" customHeight="true" outlineLevel="0" collapsed="false">
      <c r="B30" s="13"/>
      <c r="M30" s="28" t="s">
        <v>17</v>
      </c>
      <c r="N30" s="25" t="s">
        <v>20</v>
      </c>
      <c r="O30" s="25"/>
      <c r="P30" s="26" t="str">
        <f aca="false">DATOS!K4&amp;" ("&amp;TEXT(DATOS!K4/20,"0%")&amp;")"</f>
        <v>3 (15%)</v>
      </c>
      <c r="Q30" s="26"/>
    </row>
    <row r="31" customFormat="false" ht="12" hidden="false" customHeight="true" outlineLevel="0" collapsed="false">
      <c r="B31" s="13"/>
      <c r="Q31" s="14"/>
    </row>
    <row r="32" customFormat="false" ht="12" hidden="false" customHeight="true" outlineLevel="0" collapsed="false">
      <c r="B32" s="13"/>
      <c r="Q32" s="14"/>
    </row>
    <row r="33" customFormat="false" ht="12" hidden="false" customHeight="true" outlineLevel="0" collapsed="false">
      <c r="B33" s="13"/>
      <c r="Q33" s="14"/>
    </row>
    <row r="34" customFormat="false" ht="12" hidden="false" customHeight="true" outlineLevel="0" collapsed="false">
      <c r="B34" s="13"/>
      <c r="Q34" s="14"/>
    </row>
    <row r="35" customFormat="false" ht="12" hidden="false" customHeight="true" outlineLevel="0" collapsed="false">
      <c r="B35" s="13"/>
      <c r="Q35" s="14"/>
    </row>
    <row r="36" customFormat="false" ht="12" hidden="false" customHeight="true" outlineLevel="0" collapsed="false">
      <c r="B36" s="13"/>
      <c r="Q36" s="14"/>
    </row>
    <row r="37" customFormat="false" ht="15" hidden="false" customHeight="false" outlineLevel="0" collapsed="false">
      <c r="B37" s="13"/>
      <c r="Q37" s="14"/>
    </row>
    <row r="38" customFormat="false" ht="15.75" hidden="false" customHeight="true" outlineLevel="0" collapsed="false">
      <c r="B38" s="29" t="s">
        <v>21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  <row r="39" customFormat="false" ht="15" hidden="false" customHeight="true" outlineLevel="0" collapsed="false">
      <c r="B39" s="30" t="str">
        <f aca="false">"Alumnos en riesgo: "&amp;COUNTIF(DATOS!G2:G21,"&lt;&gt;Ninguno")&amp;" de "&amp;COUNTA(DATOS!A2:A21)</f>
        <v>Alumnos en riesgo: 8 de 20</v>
      </c>
      <c r="C39" s="30"/>
      <c r="D39" s="30"/>
      <c r="E39" s="30"/>
      <c r="F39" s="31" t="str">
        <f aca="false">"% del grupo: "&amp;TEXT(COUNTIF(DATOS!G2:G21,"&lt;&gt;Ninguno")/COUNTA(DATOS!A2:A21),"0%")</f>
        <v>% del grupo: 40%</v>
      </c>
      <c r="G39" s="31"/>
      <c r="H39" s="31"/>
      <c r="I39" s="31" t="str">
        <f aca="false">"Reprobación: "&amp;COUNTIF(DATOS!H2:H21,"Reprobación")</f>
        <v>Reprobación: 3</v>
      </c>
      <c r="J39" s="31"/>
      <c r="K39" s="31"/>
      <c r="L39" s="31" t="str">
        <f aca="false">"Econ.: "&amp;COUNTIF(DATOS!H2:H21,"Problemas económicos")</f>
        <v>Econ.: 2</v>
      </c>
      <c r="M39" s="31"/>
      <c r="N39" s="31"/>
      <c r="O39" s="32" t="str">
        <f aca="false">"Personales: "&amp;COUNTIF(DATOS!H2:H21,"Problemas personales")</f>
        <v>Personales: 1</v>
      </c>
      <c r="P39" s="32"/>
      <c r="Q39" s="32"/>
    </row>
    <row r="40" customFormat="false" ht="15" hidden="false" customHeight="false" outlineLevel="0" collapsed="false">
      <c r="B40" s="13"/>
      <c r="Q40" s="14"/>
    </row>
    <row r="41" customFormat="false" ht="13.5" hidden="false" customHeight="true" outlineLevel="0" collapsed="false">
      <c r="B41" s="33" t="s">
        <v>22</v>
      </c>
      <c r="C41" s="33"/>
      <c r="D41" s="34" t="s">
        <v>23</v>
      </c>
      <c r="E41" s="34"/>
      <c r="F41" s="34"/>
      <c r="G41" s="34"/>
      <c r="H41" s="34"/>
      <c r="I41" s="34"/>
      <c r="J41" s="34" t="s">
        <v>24</v>
      </c>
      <c r="K41" s="34"/>
      <c r="L41" s="34"/>
      <c r="M41" s="34"/>
      <c r="N41" s="34"/>
      <c r="O41" s="35" t="s">
        <v>25</v>
      </c>
      <c r="P41" s="36" t="s">
        <v>26</v>
      </c>
      <c r="Q41" s="36"/>
    </row>
    <row r="42" customFormat="false" ht="12.75" hidden="false" customHeight="true" outlineLevel="0" collapsed="false">
      <c r="B42" s="37" t="str">
        <f aca="false">DATOS!A3</f>
        <v>TIC-240092</v>
      </c>
      <c r="C42" s="37"/>
      <c r="D42" s="38" t="str">
        <f aca="false">DATOS!B3</f>
        <v>Brandon Josué Castañeda Ríos</v>
      </c>
      <c r="E42" s="38"/>
      <c r="F42" s="38"/>
      <c r="G42" s="38"/>
      <c r="H42" s="38"/>
      <c r="I42" s="38"/>
      <c r="J42" s="38" t="str">
        <f aca="false">DATOS!H3</f>
        <v>Reprobación</v>
      </c>
      <c r="K42" s="38"/>
      <c r="L42" s="38"/>
      <c r="M42" s="38"/>
      <c r="N42" s="38"/>
      <c r="O42" s="39" t="n">
        <f aca="false">DATOS!F3</f>
        <v>3</v>
      </c>
      <c r="P42" s="40" t="str">
        <f aca="false">DATOS!G3</f>
        <v>Alto</v>
      </c>
      <c r="Q42" s="40"/>
    </row>
    <row r="43" customFormat="false" ht="12.75" hidden="false" customHeight="true" outlineLevel="0" collapsed="false">
      <c r="B43" s="37" t="str">
        <f aca="false">DATOS!A7</f>
        <v>TIC-240096</v>
      </c>
      <c r="C43" s="37"/>
      <c r="D43" s="38" t="str">
        <f aca="false">DATOS!B7</f>
        <v>Fernando Iván Solórzano Peña</v>
      </c>
      <c r="E43" s="38"/>
      <c r="F43" s="38"/>
      <c r="G43" s="38"/>
      <c r="H43" s="38"/>
      <c r="I43" s="38"/>
      <c r="J43" s="38" t="str">
        <f aca="false">DATOS!H7</f>
        <v>Reprobación</v>
      </c>
      <c r="K43" s="38"/>
      <c r="L43" s="38"/>
      <c r="M43" s="38"/>
      <c r="N43" s="38"/>
      <c r="O43" s="39" t="n">
        <f aca="false">DATOS!F7</f>
        <v>4</v>
      </c>
      <c r="P43" s="40" t="str">
        <f aca="false">DATOS!G7</f>
        <v>Alto</v>
      </c>
      <c r="Q43" s="40"/>
    </row>
    <row r="44" customFormat="false" ht="12.75" hidden="false" customHeight="true" outlineLevel="0" collapsed="false">
      <c r="B44" s="37" t="str">
        <f aca="false">DATOS!A17</f>
        <v>TIC-240106</v>
      </c>
      <c r="C44" s="37"/>
      <c r="D44" s="38" t="str">
        <f aca="false">DATOS!B17</f>
        <v>Pedro Alexis Gómez Uc</v>
      </c>
      <c r="E44" s="38"/>
      <c r="F44" s="38"/>
      <c r="G44" s="38"/>
      <c r="H44" s="38"/>
      <c r="I44" s="38"/>
      <c r="J44" s="38" t="str">
        <f aca="false">DATOS!H17</f>
        <v>Reprobación</v>
      </c>
      <c r="K44" s="38"/>
      <c r="L44" s="38"/>
      <c r="M44" s="38"/>
      <c r="N44" s="38"/>
      <c r="O44" s="39" t="n">
        <f aca="false">DATOS!F17</f>
        <v>2</v>
      </c>
      <c r="P44" s="40" t="str">
        <f aca="false">DATOS!G17</f>
        <v>Alto</v>
      </c>
      <c r="Q44" s="40"/>
    </row>
    <row r="45" customFormat="false" ht="12.75" hidden="false" customHeight="true" outlineLevel="0" collapsed="false">
      <c r="B45" s="37" t="str">
        <f aca="false">DATOS!A9</f>
        <v>TIC-240098</v>
      </c>
      <c r="C45" s="37"/>
      <c r="D45" s="38" t="str">
        <f aca="false">DATOS!B9</f>
        <v>Héctor Manuel Beltrán Osuna</v>
      </c>
      <c r="E45" s="38"/>
      <c r="F45" s="38"/>
      <c r="G45" s="38"/>
      <c r="H45" s="38"/>
      <c r="I45" s="38"/>
      <c r="J45" s="38" t="str">
        <f aca="false">DATOS!H9</f>
        <v>Problemas económicos</v>
      </c>
      <c r="K45" s="38"/>
      <c r="L45" s="38"/>
      <c r="M45" s="38"/>
      <c r="N45" s="38"/>
      <c r="O45" s="39" t="n">
        <f aca="false">DATOS!F9</f>
        <v>2</v>
      </c>
      <c r="P45" s="41" t="str">
        <f aca="false">DATOS!G9</f>
        <v>Medio</v>
      </c>
      <c r="Q45" s="41"/>
    </row>
    <row r="46" customFormat="false" ht="12.75" hidden="false" customHeight="true" outlineLevel="0" collapsed="false">
      <c r="B46" s="37" t="str">
        <f aca="false">DATOS!A13</f>
        <v>TIC-240102</v>
      </c>
      <c r="C46" s="37"/>
      <c r="D46" s="38" t="str">
        <f aca="false">DATOS!B13</f>
        <v>Luis Ángel Mendoza Chi</v>
      </c>
      <c r="E46" s="38"/>
      <c r="F46" s="38"/>
      <c r="G46" s="38"/>
      <c r="H46" s="38"/>
      <c r="I46" s="38"/>
      <c r="J46" s="38" t="str">
        <f aca="false">DATOS!H13</f>
        <v>Problemas personales</v>
      </c>
      <c r="K46" s="38"/>
      <c r="L46" s="38"/>
      <c r="M46" s="38"/>
      <c r="N46" s="38"/>
      <c r="O46" s="39" t="n">
        <f aca="false">DATOS!F13</f>
        <v>3</v>
      </c>
      <c r="P46" s="41" t="str">
        <f aca="false">DATOS!G13</f>
        <v>Medio</v>
      </c>
      <c r="Q46" s="41"/>
    </row>
    <row r="47" customFormat="false" ht="12.75" hidden="false" customHeight="true" outlineLevel="0" collapsed="false">
      <c r="B47" s="37" t="str">
        <f aca="false">DATOS!A20</f>
        <v>TIC-240109</v>
      </c>
      <c r="C47" s="37"/>
      <c r="D47" s="38" t="str">
        <f aca="false">DATOS!B20</f>
        <v>Samantha Nicole Ake Chan</v>
      </c>
      <c r="E47" s="38"/>
      <c r="F47" s="38"/>
      <c r="G47" s="38"/>
      <c r="H47" s="38"/>
      <c r="I47" s="38"/>
      <c r="J47" s="38" t="str">
        <f aca="false">DATOS!H20</f>
        <v>Problemas económicos</v>
      </c>
      <c r="K47" s="38"/>
      <c r="L47" s="38"/>
      <c r="M47" s="38"/>
      <c r="N47" s="38"/>
      <c r="O47" s="39" t="n">
        <f aca="false">DATOS!F20</f>
        <v>0</v>
      </c>
      <c r="P47" s="41" t="str">
        <f aca="false">DATOS!G20</f>
        <v>Medio</v>
      </c>
      <c r="Q47" s="41"/>
    </row>
    <row r="48" customFormat="false" ht="12.75" hidden="false" customHeight="true" outlineLevel="0" collapsed="false">
      <c r="B48" s="37" t="str">
        <f aca="false">DATOS!A5</f>
        <v>TIC-240094</v>
      </c>
      <c r="C48" s="37"/>
      <c r="D48" s="38" t="str">
        <f aca="false">DATOS!B5</f>
        <v>Diego Alejandro Núñez Bravo</v>
      </c>
      <c r="E48" s="38"/>
      <c r="F48" s="38"/>
      <c r="G48" s="38"/>
      <c r="H48" s="38"/>
      <c r="I48" s="38"/>
      <c r="J48" s="38" t="str">
        <f aca="false">DATOS!H5</f>
        <v>Impuntualidad</v>
      </c>
      <c r="K48" s="38"/>
      <c r="L48" s="38"/>
      <c r="M48" s="38"/>
      <c r="N48" s="38"/>
      <c r="O48" s="39" t="n">
        <f aca="false">DATOS!F5</f>
        <v>1</v>
      </c>
      <c r="P48" s="42" t="str">
        <f aca="false">DATOS!G5</f>
        <v>Bajo</v>
      </c>
      <c r="Q48" s="42"/>
    </row>
    <row r="49" customFormat="false" ht="12.75" hidden="false" customHeight="true" outlineLevel="0" collapsed="false">
      <c r="B49" s="37" t="str">
        <f aca="false">DATOS!A11</f>
        <v>TIC-240100</v>
      </c>
      <c r="C49" s="37"/>
      <c r="D49" s="38" t="str">
        <f aca="false">DATOS!B11</f>
        <v>Jorge Emiliano Vargas Cetina</v>
      </c>
      <c r="E49" s="38"/>
      <c r="F49" s="38"/>
      <c r="G49" s="38"/>
      <c r="H49" s="38"/>
      <c r="I49" s="38"/>
      <c r="J49" s="38" t="str">
        <f aca="false">DATOS!H11</f>
        <v>Ausentismo</v>
      </c>
      <c r="K49" s="38"/>
      <c r="L49" s="38"/>
      <c r="M49" s="38"/>
      <c r="N49" s="38"/>
      <c r="O49" s="39" t="n">
        <f aca="false">DATOS!F11</f>
        <v>1</v>
      </c>
      <c r="P49" s="42" t="str">
        <f aca="false">DATOS!G11</f>
        <v>Bajo</v>
      </c>
      <c r="Q49" s="42"/>
    </row>
    <row r="50" customFormat="false" ht="15" hidden="false" customHeight="false" outlineLevel="0" collapsed="false">
      <c r="B50" s="13"/>
      <c r="Q50" s="14"/>
    </row>
    <row r="51" customFormat="false" ht="15" hidden="false" customHeight="false" outlineLevel="0" collapsed="false">
      <c r="B51" s="13"/>
      <c r="Q51" s="14"/>
    </row>
    <row r="52" customFormat="false" ht="15.75" hidden="false" customHeight="true" outlineLevel="0" collapsed="false">
      <c r="B52" s="29" t="s">
        <v>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</row>
    <row r="53" customFormat="false" ht="12.75" hidden="false" customHeight="true" outlineLevel="0" collapsed="false">
      <c r="B53" s="43" t="s">
        <v>28</v>
      </c>
      <c r="C53" s="44" t="s">
        <v>29</v>
      </c>
      <c r="D53" s="44"/>
      <c r="E53" s="44"/>
      <c r="F53" s="45" t="s">
        <v>30</v>
      </c>
      <c r="G53" s="45" t="s">
        <v>31</v>
      </c>
      <c r="H53" s="45" t="s">
        <v>32</v>
      </c>
      <c r="J53" s="45" t="s">
        <v>28</v>
      </c>
      <c r="K53" s="44" t="s">
        <v>29</v>
      </c>
      <c r="L53" s="44"/>
      <c r="M53" s="44"/>
      <c r="N53" s="45" t="s">
        <v>30</v>
      </c>
      <c r="O53" s="45" t="s">
        <v>31</v>
      </c>
      <c r="P53" s="45" t="s">
        <v>32</v>
      </c>
      <c r="Q53" s="14"/>
    </row>
    <row r="54" customFormat="false" ht="12" hidden="false" customHeight="true" outlineLevel="0" collapsed="false">
      <c r="B54" s="46" t="str">
        <f aca="false">RIGHT(DATOS!A2,3)</f>
        <v>091</v>
      </c>
      <c r="C54" s="47" t="str">
        <f aca="false">DATOS!B2</f>
        <v>Abigail Montserrat Flores Rubio</v>
      </c>
      <c r="D54" s="47"/>
      <c r="E54" s="47"/>
      <c r="F54" s="48" t="str">
        <f aca="false">TEXT(DATOS!D2,"0.0")</f>
        <v>9.2</v>
      </c>
      <c r="G54" s="48" t="str">
        <f aca="false">IFERROR(_xlfn.SWITCH(DATOS!E2,"Realizada","Real.","Programada","Prog.","Sin tutoría","S/T",DATOS!E2),DATOS!E2)</f>
        <v>Real.</v>
      </c>
      <c r="H54" s="48" t="str">
        <f aca="false">LEFT(DATOS!G2,1)</f>
        <v>N</v>
      </c>
      <c r="J54" s="48" t="str">
        <f aca="false">RIGHT(DATOS!A12,3)</f>
        <v>101</v>
      </c>
      <c r="K54" s="47" t="str">
        <f aca="false">DATOS!B12</f>
        <v>Karla Ximena Delgado Puc</v>
      </c>
      <c r="L54" s="47"/>
      <c r="M54" s="47"/>
      <c r="N54" s="48" t="str">
        <f aca="false">TEXT(DATOS!D12,"0.0")</f>
        <v>9.4</v>
      </c>
      <c r="O54" s="48" t="str">
        <f aca="false">IFERROR(_xlfn.SWITCH(DATOS!E12,"Realizada","Real.","Programada","Prog.","Sin tutoría","S/T",DATOS!E12),DATOS!E12)</f>
        <v>Real.</v>
      </c>
      <c r="P54" s="48" t="str">
        <f aca="false">LEFT(DATOS!G12,1)</f>
        <v>N</v>
      </c>
      <c r="Q54" s="14"/>
    </row>
    <row r="55" customFormat="false" ht="12" hidden="false" customHeight="true" outlineLevel="0" collapsed="false">
      <c r="B55" s="49" t="str">
        <f aca="false">RIGHT(DATOS!A3,3)</f>
        <v>092</v>
      </c>
      <c r="C55" s="50" t="str">
        <f aca="false">DATOS!B3</f>
        <v>Brandon Josué Castañeda Ríos</v>
      </c>
      <c r="D55" s="50"/>
      <c r="E55" s="50"/>
      <c r="F55" s="51" t="str">
        <f aca="false">TEXT(DATOS!D3,"0.0")</f>
        <v>6.1</v>
      </c>
      <c r="G55" s="51" t="str">
        <f aca="false">IFERROR(_xlfn.SWITCH(DATOS!E3,"Realizada","Real.","Programada","Prog.","Sin tutoría","S/T",DATOS!E3),DATOS!E3)</f>
        <v>Real.</v>
      </c>
      <c r="H55" s="51" t="str">
        <f aca="false">LEFT(DATOS!G3,1)</f>
        <v>A</v>
      </c>
      <c r="J55" s="51" t="str">
        <f aca="false">RIGHT(DATOS!A13,3)</f>
        <v>102</v>
      </c>
      <c r="K55" s="50" t="str">
        <f aca="false">DATOS!B13</f>
        <v>Luis Ángel Mendoza Chi</v>
      </c>
      <c r="L55" s="50"/>
      <c r="M55" s="50"/>
      <c r="N55" s="51" t="str">
        <f aca="false">TEXT(DATOS!D13,"0.0")</f>
        <v>6.4</v>
      </c>
      <c r="O55" s="51" t="str">
        <f aca="false">IFERROR(_xlfn.SWITCH(DATOS!E13,"Realizada","Real.","Programada","Prog.","Sin tutoría","S/T",DATOS!E13),DATOS!E13)</f>
        <v>Real.</v>
      </c>
      <c r="P55" s="51" t="str">
        <f aca="false">LEFT(DATOS!G13,1)</f>
        <v>M</v>
      </c>
      <c r="Q55" s="14"/>
    </row>
    <row r="56" customFormat="false" ht="12" hidden="false" customHeight="true" outlineLevel="0" collapsed="false">
      <c r="B56" s="46" t="str">
        <f aca="false">RIGHT(DATOS!A4,3)</f>
        <v>093</v>
      </c>
      <c r="C56" s="47" t="str">
        <f aca="false">DATOS!B4</f>
        <v>Camila Fernanda López Torres</v>
      </c>
      <c r="D56" s="47"/>
      <c r="E56" s="47"/>
      <c r="F56" s="48" t="str">
        <f aca="false">TEXT(DATOS!D4,"0.0")</f>
        <v>8.6</v>
      </c>
      <c r="G56" s="48" t="str">
        <f aca="false">IFERROR(_xlfn.SWITCH(DATOS!E4,"Realizada","Real.","Programada","Prog.","Sin tutoría","S/T",DATOS!E4),DATOS!E4)</f>
        <v>Real.</v>
      </c>
      <c r="H56" s="48" t="str">
        <f aca="false">LEFT(DATOS!G4,1)</f>
        <v>N</v>
      </c>
      <c r="J56" s="48" t="str">
        <f aca="false">RIGHT(DATOS!A14,3)</f>
        <v>103</v>
      </c>
      <c r="K56" s="47" t="str">
        <f aca="false">DATOS!B14</f>
        <v>María José Aguilar Tun</v>
      </c>
      <c r="L56" s="47"/>
      <c r="M56" s="47"/>
      <c r="N56" s="48" t="str">
        <f aca="false">TEXT(DATOS!D14,"0.0")</f>
        <v>8.3</v>
      </c>
      <c r="O56" s="48" t="str">
        <f aca="false">IFERROR(_xlfn.SWITCH(DATOS!E14,"Realizada","Real.","Programada","Prog.","Sin tutoría","S/T",DATOS!E14),DATOS!E14)</f>
        <v>S/T</v>
      </c>
      <c r="P56" s="48" t="str">
        <f aca="false">LEFT(DATOS!G14,1)</f>
        <v>N</v>
      </c>
      <c r="Q56" s="14"/>
    </row>
    <row r="57" customFormat="false" ht="12" hidden="false" customHeight="true" outlineLevel="0" collapsed="false">
      <c r="B57" s="49" t="str">
        <f aca="false">RIGHT(DATOS!A5,3)</f>
        <v>094</v>
      </c>
      <c r="C57" s="50" t="str">
        <f aca="false">DATOS!B5</f>
        <v>Diego Alejandro Núñez Bravo</v>
      </c>
      <c r="D57" s="50"/>
      <c r="E57" s="50"/>
      <c r="F57" s="51" t="str">
        <f aca="false">TEXT(DATOS!D5,"0.0")</f>
        <v>7.4</v>
      </c>
      <c r="G57" s="51" t="str">
        <f aca="false">IFERROR(_xlfn.SWITCH(DATOS!E5,"Realizada","Real.","Programada","Prog.","Sin tutoría","S/T",DATOS!E5),DATOS!E5)</f>
        <v>Prog.</v>
      </c>
      <c r="H57" s="51" t="str">
        <f aca="false">LEFT(DATOS!G5,1)</f>
        <v>B</v>
      </c>
      <c r="J57" s="51" t="str">
        <f aca="false">RIGHT(DATOS!A15,3)</f>
        <v>104</v>
      </c>
      <c r="K57" s="50" t="str">
        <f aca="false">DATOS!B15</f>
        <v>Néstor Iván Cruz Balam</v>
      </c>
      <c r="L57" s="50"/>
      <c r="M57" s="50"/>
      <c r="N57" s="51" t="str">
        <f aca="false">TEXT(DATOS!D15,"0.0")</f>
        <v>7.6</v>
      </c>
      <c r="O57" s="51" t="str">
        <f aca="false">IFERROR(_xlfn.SWITCH(DATOS!E15,"Realizada","Real.","Programada","Prog.","Sin tutoría","S/T",DATOS!E15),DATOS!E15)</f>
        <v>Real.</v>
      </c>
      <c r="P57" s="51" t="str">
        <f aca="false">LEFT(DATOS!G15,1)</f>
        <v>N</v>
      </c>
      <c r="Q57" s="14"/>
    </row>
    <row r="58" customFormat="false" ht="12" hidden="false" customHeight="true" outlineLevel="0" collapsed="false">
      <c r="B58" s="46" t="str">
        <f aca="false">RIGHT(DATOS!A6,3)</f>
        <v>095</v>
      </c>
      <c r="C58" s="47" t="str">
        <f aca="false">DATOS!B6</f>
        <v>Elena Sofía Ramírez Gaona</v>
      </c>
      <c r="D58" s="47"/>
      <c r="E58" s="47"/>
      <c r="F58" s="48" t="str">
        <f aca="false">TEXT(DATOS!D6,"0.0")</f>
        <v>9.0</v>
      </c>
      <c r="G58" s="48" t="str">
        <f aca="false">IFERROR(_xlfn.SWITCH(DATOS!E6,"Realizada","Real.","Programada","Prog.","Sin tutoría","S/T",DATOS!E6),DATOS!E6)</f>
        <v>Real.</v>
      </c>
      <c r="H58" s="48" t="str">
        <f aca="false">LEFT(DATOS!G6,1)</f>
        <v>N</v>
      </c>
      <c r="J58" s="48" t="str">
        <f aca="false">RIGHT(DATOS!A16,3)</f>
        <v>105</v>
      </c>
      <c r="K58" s="47" t="str">
        <f aca="false">DATOS!B16</f>
        <v>Olivia Renata Pech Dzul</v>
      </c>
      <c r="L58" s="47"/>
      <c r="M58" s="47"/>
      <c r="N58" s="48" t="str">
        <f aca="false">TEXT(DATOS!D16,"0.0")</f>
        <v>8.9</v>
      </c>
      <c r="O58" s="48" t="str">
        <f aca="false">IFERROR(_xlfn.SWITCH(DATOS!E16,"Realizada","Real.","Programada","Prog.","Sin tutoría","S/T",DATOS!E16),DATOS!E16)</f>
        <v>Real.</v>
      </c>
      <c r="P58" s="48" t="str">
        <f aca="false">LEFT(DATOS!G16,1)</f>
        <v>N</v>
      </c>
      <c r="Q58" s="14"/>
    </row>
    <row r="59" customFormat="false" ht="12" hidden="false" customHeight="true" outlineLevel="0" collapsed="false">
      <c r="B59" s="49" t="str">
        <f aca="false">RIGHT(DATOS!A7,3)</f>
        <v>096</v>
      </c>
      <c r="C59" s="50" t="str">
        <f aca="false">DATOS!B7</f>
        <v>Fernando Iván Solórzano Peña</v>
      </c>
      <c r="D59" s="50"/>
      <c r="E59" s="50"/>
      <c r="F59" s="51" t="str">
        <f aca="false">TEXT(DATOS!D7,"0.0")</f>
        <v>5.8</v>
      </c>
      <c r="G59" s="51" t="str">
        <f aca="false">IFERROR(_xlfn.SWITCH(DATOS!E7,"Realizada","Real.","Programada","Prog.","Sin tutoría","S/T",DATOS!E7),DATOS!E7)</f>
        <v>Real.</v>
      </c>
      <c r="H59" s="51" t="str">
        <f aca="false">LEFT(DATOS!G7,1)</f>
        <v>A</v>
      </c>
      <c r="J59" s="51" t="str">
        <f aca="false">RIGHT(DATOS!A17,3)</f>
        <v>106</v>
      </c>
      <c r="K59" s="50" t="str">
        <f aca="false">DATOS!B17</f>
        <v>Pedro Alexis Gómez Uc</v>
      </c>
      <c r="L59" s="50"/>
      <c r="M59" s="50"/>
      <c r="N59" s="51" t="str">
        <f aca="false">TEXT(DATOS!D17,"0.0")</f>
        <v>5.6</v>
      </c>
      <c r="O59" s="51" t="str">
        <f aca="false">IFERROR(_xlfn.SWITCH(DATOS!E17,"Realizada","Real.","Programada","Prog.","Sin tutoría","S/T",DATOS!E17),DATOS!E17)</f>
        <v>Prog.</v>
      </c>
      <c r="P59" s="51" t="str">
        <f aca="false">LEFT(DATOS!G17,1)</f>
        <v>A</v>
      </c>
      <c r="Q59" s="14"/>
    </row>
    <row r="60" customFormat="false" ht="12" hidden="false" customHeight="true" outlineLevel="0" collapsed="false">
      <c r="B60" s="46" t="str">
        <f aca="false">RIGHT(DATOS!A8,3)</f>
        <v>097</v>
      </c>
      <c r="C60" s="47" t="str">
        <f aca="false">DATOS!B8</f>
        <v>Gabriela Itzel Contreras May</v>
      </c>
      <c r="D60" s="47"/>
      <c r="E60" s="47"/>
      <c r="F60" s="48" t="str">
        <f aca="false">TEXT(DATOS!D8,"0.0")</f>
        <v>8.1</v>
      </c>
      <c r="G60" s="48" t="str">
        <f aca="false">IFERROR(_xlfn.SWITCH(DATOS!E8,"Realizada","Real.","Programada","Prog.","Sin tutoría","S/T",DATOS!E8),DATOS!E8)</f>
        <v>S/T</v>
      </c>
      <c r="H60" s="48" t="str">
        <f aca="false">LEFT(DATOS!G8,1)</f>
        <v>N</v>
      </c>
      <c r="J60" s="48" t="str">
        <f aca="false">RIGHT(DATOS!A18,3)</f>
        <v>107</v>
      </c>
      <c r="K60" s="47" t="str">
        <f aca="false">DATOS!B18</f>
        <v>Quetzal Yamileth Poot Kú</v>
      </c>
      <c r="L60" s="47"/>
      <c r="M60" s="47"/>
      <c r="N60" s="48" t="str">
        <f aca="false">TEXT(DATOS!D18,"0.0")</f>
        <v>7.2</v>
      </c>
      <c r="O60" s="48" t="str">
        <f aca="false">IFERROR(_xlfn.SWITCH(DATOS!E18,"Realizada","Real.","Programada","Prog.","Sin tutoría","S/T",DATOS!E18),DATOS!E18)</f>
        <v>Real.</v>
      </c>
      <c r="P60" s="48" t="str">
        <f aca="false">LEFT(DATOS!G18,1)</f>
        <v>N</v>
      </c>
      <c r="Q60" s="14"/>
    </row>
    <row r="61" customFormat="false" ht="12" hidden="false" customHeight="true" outlineLevel="0" collapsed="false">
      <c r="B61" s="49" t="str">
        <f aca="false">RIGHT(DATOS!A9,3)</f>
        <v>098</v>
      </c>
      <c r="C61" s="50" t="str">
        <f aca="false">DATOS!B9</f>
        <v>Héctor Manuel Beltrán Osuna</v>
      </c>
      <c r="D61" s="50"/>
      <c r="E61" s="50"/>
      <c r="F61" s="51" t="str">
        <f aca="false">TEXT(DATOS!D9,"0.0")</f>
        <v>6.9</v>
      </c>
      <c r="G61" s="51" t="str">
        <f aca="false">IFERROR(_xlfn.SWITCH(DATOS!E9,"Realizada","Real.","Programada","Prog.","Sin tutoría","S/T",DATOS!E9),DATOS!E9)</f>
        <v>Real.</v>
      </c>
      <c r="H61" s="51" t="str">
        <f aca="false">LEFT(DATOS!G9,1)</f>
        <v>M</v>
      </c>
      <c r="J61" s="51" t="str">
        <f aca="false">RIGHT(DATOS!A19,3)</f>
        <v>108</v>
      </c>
      <c r="K61" s="50" t="str">
        <f aca="false">DATOS!B19</f>
        <v>Ricardo Alonso Herrera Cob</v>
      </c>
      <c r="L61" s="50"/>
      <c r="M61" s="50"/>
      <c r="N61" s="51" t="str">
        <f aca="false">TEXT(DATOS!D19,"0.0")</f>
        <v>8.5</v>
      </c>
      <c r="O61" s="51" t="str">
        <f aca="false">IFERROR(_xlfn.SWITCH(DATOS!E19,"Realizada","Real.","Programada","Prog.","Sin tutoría","S/T",DATOS!E19),DATOS!E19)</f>
        <v>Real.</v>
      </c>
      <c r="P61" s="51" t="str">
        <f aca="false">LEFT(DATOS!G19,1)</f>
        <v>N</v>
      </c>
      <c r="Q61" s="14"/>
    </row>
    <row r="62" customFormat="false" ht="12" hidden="false" customHeight="true" outlineLevel="0" collapsed="false">
      <c r="B62" s="46" t="str">
        <f aca="false">RIGHT(DATOS!A10,3)</f>
        <v>099</v>
      </c>
      <c r="C62" s="47" t="str">
        <f aca="false">DATOS!B10</f>
        <v>Ivonne Paola Cárdenas Zúñiga</v>
      </c>
      <c r="D62" s="47"/>
      <c r="E62" s="47"/>
      <c r="F62" s="48" t="str">
        <f aca="false">TEXT(DATOS!D10,"0.0")</f>
        <v>8.8</v>
      </c>
      <c r="G62" s="48" t="str">
        <f aca="false">IFERROR(_xlfn.SWITCH(DATOS!E10,"Realizada","Real.","Programada","Prog.","Sin tutoría","S/T",DATOS!E10),DATOS!E10)</f>
        <v>Real.</v>
      </c>
      <c r="H62" s="48" t="str">
        <f aca="false">LEFT(DATOS!G10,1)</f>
        <v>N</v>
      </c>
      <c r="J62" s="48" t="str">
        <f aca="false">RIGHT(DATOS!A20,3)</f>
        <v>109</v>
      </c>
      <c r="K62" s="47" t="str">
        <f aca="false">DATOS!B20</f>
        <v>Samantha Nicole Ake Chan</v>
      </c>
      <c r="L62" s="47"/>
      <c r="M62" s="47"/>
      <c r="N62" s="48" t="str">
        <f aca="false">TEXT(DATOS!D20,"0.0")</f>
        <v>6.7</v>
      </c>
      <c r="O62" s="48" t="str">
        <f aca="false">IFERROR(_xlfn.SWITCH(DATOS!E20,"Realizada","Real.","Programada","Prog.","Sin tutoría","S/T",DATOS!E20),DATOS!E20)</f>
        <v>S/T</v>
      </c>
      <c r="P62" s="48" t="str">
        <f aca="false">LEFT(DATOS!G20,1)</f>
        <v>M</v>
      </c>
      <c r="Q62" s="14"/>
    </row>
    <row r="63" customFormat="false" ht="12" hidden="false" customHeight="true" outlineLevel="0" collapsed="false">
      <c r="B63" s="49" t="str">
        <f aca="false">RIGHT(DATOS!A11,3)</f>
        <v>100</v>
      </c>
      <c r="C63" s="50" t="str">
        <f aca="false">DATOS!B11</f>
        <v>Jorge Emiliano Vargas Cetina</v>
      </c>
      <c r="D63" s="50"/>
      <c r="E63" s="50"/>
      <c r="F63" s="51" t="str">
        <f aca="false">TEXT(DATOS!D11,"0.0")</f>
        <v>7.9</v>
      </c>
      <c r="G63" s="51" t="str">
        <f aca="false">IFERROR(_xlfn.SWITCH(DATOS!E11,"Realizada","Real.","Programada","Prog.","Sin tutoría","S/T",DATOS!E11),DATOS!E11)</f>
        <v>Prog.</v>
      </c>
      <c r="H63" s="51" t="str">
        <f aca="false">LEFT(DATOS!G11,1)</f>
        <v>B</v>
      </c>
      <c r="J63" s="51" t="str">
        <f aca="false">RIGHT(DATOS!A21,3)</f>
        <v>110</v>
      </c>
      <c r="K63" s="50" t="str">
        <f aca="false">DATOS!B21</f>
        <v>Tomás Eduardo Yam Canul</v>
      </c>
      <c r="L63" s="50"/>
      <c r="M63" s="50"/>
      <c r="N63" s="51" t="str">
        <f aca="false">TEXT(DATOS!D21,"0.0")</f>
        <v>8.0</v>
      </c>
      <c r="O63" s="51" t="str">
        <f aca="false">IFERROR(_xlfn.SWITCH(DATOS!E21,"Realizada","Real.","Programada","Prog.","Sin tutoría","S/T",DATOS!E21),DATOS!E21)</f>
        <v>Real.</v>
      </c>
      <c r="P63" s="51" t="str">
        <f aca="false">LEFT(DATOS!G21,1)</f>
        <v>N</v>
      </c>
      <c r="Q63" s="14"/>
    </row>
    <row r="64" customFormat="false" ht="15" hidden="false" customHeight="false" outlineLevel="0" collapsed="false">
      <c r="B64" s="13"/>
      <c r="Q64" s="14"/>
    </row>
    <row r="65" customFormat="false" ht="19.5" hidden="false" customHeight="true" outlineLevel="0" collapsed="false">
      <c r="B65" s="52" t="s">
        <v>33</v>
      </c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</row>
  </sheetData>
  <mergeCells count="90">
    <mergeCell ref="C2:P2"/>
    <mergeCell ref="C3:P3"/>
    <mergeCell ref="C4:P4"/>
    <mergeCell ref="B6:Q6"/>
    <mergeCell ref="C7:E7"/>
    <mergeCell ref="G7:M7"/>
    <mergeCell ref="O7:Q7"/>
    <mergeCell ref="B11:E11"/>
    <mergeCell ref="F11:I11"/>
    <mergeCell ref="J11:M11"/>
    <mergeCell ref="N11:Q11"/>
    <mergeCell ref="B12:E12"/>
    <mergeCell ref="F12:I12"/>
    <mergeCell ref="J12:M12"/>
    <mergeCell ref="N12:Q12"/>
    <mergeCell ref="B14:L14"/>
    <mergeCell ref="M14:Q14"/>
    <mergeCell ref="M27:Q27"/>
    <mergeCell ref="N28:O28"/>
    <mergeCell ref="P28:Q28"/>
    <mergeCell ref="N29:O29"/>
    <mergeCell ref="P29:Q29"/>
    <mergeCell ref="N30:O30"/>
    <mergeCell ref="P30:Q30"/>
    <mergeCell ref="B38:Q38"/>
    <mergeCell ref="B39:E39"/>
    <mergeCell ref="F39:H39"/>
    <mergeCell ref="I39:K39"/>
    <mergeCell ref="L39:N39"/>
    <mergeCell ref="O39:Q39"/>
    <mergeCell ref="B41:C41"/>
    <mergeCell ref="D41:I41"/>
    <mergeCell ref="J41:N41"/>
    <mergeCell ref="P41:Q41"/>
    <mergeCell ref="B42:C42"/>
    <mergeCell ref="D42:I42"/>
    <mergeCell ref="J42:N42"/>
    <mergeCell ref="P42:Q42"/>
    <mergeCell ref="B43:C43"/>
    <mergeCell ref="D43:I43"/>
    <mergeCell ref="J43:N43"/>
    <mergeCell ref="P43:Q43"/>
    <mergeCell ref="B44:C44"/>
    <mergeCell ref="D44:I44"/>
    <mergeCell ref="J44:N44"/>
    <mergeCell ref="P44:Q44"/>
    <mergeCell ref="B45:C45"/>
    <mergeCell ref="D45:I45"/>
    <mergeCell ref="J45:N45"/>
    <mergeCell ref="P45:Q45"/>
    <mergeCell ref="B46:C46"/>
    <mergeCell ref="D46:I46"/>
    <mergeCell ref="J46:N46"/>
    <mergeCell ref="P46:Q46"/>
    <mergeCell ref="B47:C47"/>
    <mergeCell ref="D47:I47"/>
    <mergeCell ref="J47:N47"/>
    <mergeCell ref="P47:Q47"/>
    <mergeCell ref="B48:C48"/>
    <mergeCell ref="D48:I48"/>
    <mergeCell ref="J48:N48"/>
    <mergeCell ref="P48:Q48"/>
    <mergeCell ref="B49:C49"/>
    <mergeCell ref="D49:I49"/>
    <mergeCell ref="J49:N49"/>
    <mergeCell ref="P49:Q49"/>
    <mergeCell ref="B52:Q52"/>
    <mergeCell ref="C53:E53"/>
    <mergeCell ref="K53:M53"/>
    <mergeCell ref="C54:E54"/>
    <mergeCell ref="K54:M54"/>
    <mergeCell ref="C55:E55"/>
    <mergeCell ref="K55:M55"/>
    <mergeCell ref="C56:E56"/>
    <mergeCell ref="K56:M56"/>
    <mergeCell ref="C57:E57"/>
    <mergeCell ref="K57:M57"/>
    <mergeCell ref="C58:E58"/>
    <mergeCell ref="K58:M58"/>
    <mergeCell ref="C59:E59"/>
    <mergeCell ref="K59:M59"/>
    <mergeCell ref="C60:E60"/>
    <mergeCell ref="K60:M60"/>
    <mergeCell ref="C61:E61"/>
    <mergeCell ref="K61:M61"/>
    <mergeCell ref="C62:E62"/>
    <mergeCell ref="K62:M62"/>
    <mergeCell ref="C63:E63"/>
    <mergeCell ref="K63:M63"/>
    <mergeCell ref="B65:Q65"/>
  </mergeCells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0"/>
    <col collapsed="false" customWidth="true" hidden="false" outlineLevel="0" max="10" min="10" style="0" width="16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53" t="s">
        <v>34</v>
      </c>
      <c r="B1" s="53" t="s">
        <v>35</v>
      </c>
      <c r="C1" s="53" t="s">
        <v>36</v>
      </c>
      <c r="D1" s="53" t="s">
        <v>37</v>
      </c>
      <c r="E1" s="53" t="s">
        <v>38</v>
      </c>
      <c r="F1" s="53" t="s">
        <v>39</v>
      </c>
      <c r="G1" s="53" t="s">
        <v>40</v>
      </c>
      <c r="H1" s="53" t="s">
        <v>41</v>
      </c>
      <c r="J1" s="54" t="s">
        <v>42</v>
      </c>
      <c r="K1" s="54" t="s">
        <v>43</v>
      </c>
    </row>
    <row r="2" customFormat="false" ht="15" hidden="false" customHeight="false" outlineLevel="0" collapsed="false">
      <c r="A2" s="55" t="s">
        <v>44</v>
      </c>
      <c r="B2" s="56" t="s">
        <v>45</v>
      </c>
      <c r="C2" s="55" t="s">
        <v>5</v>
      </c>
      <c r="D2" s="55" t="n">
        <v>9.2</v>
      </c>
      <c r="E2" s="55" t="s">
        <v>18</v>
      </c>
      <c r="F2" s="55" t="n">
        <v>2</v>
      </c>
      <c r="G2" s="55" t="s">
        <v>46</v>
      </c>
      <c r="H2" s="56"/>
      <c r="J2" s="57" t="s">
        <v>18</v>
      </c>
      <c r="K2" s="57" t="n">
        <f aca="false">COUNTIF(E2:E21,J2)</f>
        <v>14</v>
      </c>
    </row>
    <row r="3" customFormat="false" ht="15" hidden="false" customHeight="false" outlineLevel="0" collapsed="false">
      <c r="A3" s="55" t="s">
        <v>47</v>
      </c>
      <c r="B3" s="56" t="s">
        <v>48</v>
      </c>
      <c r="C3" s="55" t="s">
        <v>5</v>
      </c>
      <c r="D3" s="55" t="n">
        <v>6.1</v>
      </c>
      <c r="E3" s="55" t="s">
        <v>18</v>
      </c>
      <c r="F3" s="55" t="n">
        <v>3</v>
      </c>
      <c r="G3" s="55" t="s">
        <v>49</v>
      </c>
      <c r="H3" s="56" t="s">
        <v>50</v>
      </c>
      <c r="J3" s="57" t="s">
        <v>19</v>
      </c>
      <c r="K3" s="57" t="n">
        <f aca="false">COUNTIF(E2:E21,J3)</f>
        <v>3</v>
      </c>
    </row>
    <row r="4" customFormat="false" ht="15" hidden="false" customHeight="false" outlineLevel="0" collapsed="false">
      <c r="A4" s="55" t="s">
        <v>51</v>
      </c>
      <c r="B4" s="56" t="s">
        <v>52</v>
      </c>
      <c r="C4" s="55" t="s">
        <v>5</v>
      </c>
      <c r="D4" s="55" t="n">
        <v>8.6</v>
      </c>
      <c r="E4" s="55" t="s">
        <v>18</v>
      </c>
      <c r="F4" s="55" t="n">
        <v>1</v>
      </c>
      <c r="G4" s="55" t="s">
        <v>46</v>
      </c>
      <c r="H4" s="56"/>
      <c r="J4" s="57" t="s">
        <v>20</v>
      </c>
      <c r="K4" s="57" t="n">
        <f aca="false">COUNTIF(E2:E21,J4)</f>
        <v>3</v>
      </c>
    </row>
    <row r="5" customFormat="false" ht="15" hidden="false" customHeight="false" outlineLevel="0" collapsed="false">
      <c r="A5" s="55" t="s">
        <v>53</v>
      </c>
      <c r="B5" s="56" t="s">
        <v>54</v>
      </c>
      <c r="C5" s="55" t="s">
        <v>5</v>
      </c>
      <c r="D5" s="55" t="n">
        <v>7.4</v>
      </c>
      <c r="E5" s="55" t="s">
        <v>19</v>
      </c>
      <c r="F5" s="55" t="n">
        <v>1</v>
      </c>
      <c r="G5" s="55" t="s">
        <v>55</v>
      </c>
      <c r="H5" s="56" t="s">
        <v>56</v>
      </c>
    </row>
    <row r="6" customFormat="false" ht="15" hidden="false" customHeight="false" outlineLevel="0" collapsed="false">
      <c r="A6" s="55" t="s">
        <v>57</v>
      </c>
      <c r="B6" s="56" t="s">
        <v>58</v>
      </c>
      <c r="C6" s="55" t="s">
        <v>5</v>
      </c>
      <c r="D6" s="55" t="n">
        <v>9</v>
      </c>
      <c r="E6" s="55" t="s">
        <v>18</v>
      </c>
      <c r="F6" s="55" t="n">
        <v>1</v>
      </c>
      <c r="G6" s="55" t="s">
        <v>46</v>
      </c>
      <c r="H6" s="56"/>
    </row>
    <row r="7" customFormat="false" ht="15" hidden="false" customHeight="false" outlineLevel="0" collapsed="false">
      <c r="A7" s="55" t="s">
        <v>59</v>
      </c>
      <c r="B7" s="56" t="s">
        <v>60</v>
      </c>
      <c r="C7" s="55" t="s">
        <v>5</v>
      </c>
      <c r="D7" s="55" t="n">
        <v>5.8</v>
      </c>
      <c r="E7" s="55" t="s">
        <v>18</v>
      </c>
      <c r="F7" s="55" t="n">
        <v>4</v>
      </c>
      <c r="G7" s="55" t="s">
        <v>49</v>
      </c>
      <c r="H7" s="56" t="s">
        <v>50</v>
      </c>
    </row>
    <row r="8" customFormat="false" ht="15" hidden="false" customHeight="false" outlineLevel="0" collapsed="false">
      <c r="A8" s="55" t="s">
        <v>61</v>
      </c>
      <c r="B8" s="56" t="s">
        <v>62</v>
      </c>
      <c r="C8" s="55" t="s">
        <v>5</v>
      </c>
      <c r="D8" s="55" t="n">
        <v>8.1</v>
      </c>
      <c r="E8" s="55" t="s">
        <v>20</v>
      </c>
      <c r="F8" s="55" t="n">
        <v>0</v>
      </c>
      <c r="G8" s="55" t="s">
        <v>46</v>
      </c>
      <c r="H8" s="56"/>
    </row>
    <row r="9" customFormat="false" ht="15" hidden="false" customHeight="false" outlineLevel="0" collapsed="false">
      <c r="A9" s="55" t="s">
        <v>63</v>
      </c>
      <c r="B9" s="56" t="s">
        <v>64</v>
      </c>
      <c r="C9" s="55" t="s">
        <v>5</v>
      </c>
      <c r="D9" s="55" t="n">
        <v>6.9</v>
      </c>
      <c r="E9" s="55" t="s">
        <v>18</v>
      </c>
      <c r="F9" s="55" t="n">
        <v>2</v>
      </c>
      <c r="G9" s="55" t="s">
        <v>65</v>
      </c>
      <c r="H9" s="56" t="s">
        <v>66</v>
      </c>
    </row>
    <row r="10" customFormat="false" ht="15" hidden="false" customHeight="false" outlineLevel="0" collapsed="false">
      <c r="A10" s="55" t="s">
        <v>67</v>
      </c>
      <c r="B10" s="56" t="s">
        <v>68</v>
      </c>
      <c r="C10" s="55" t="s">
        <v>5</v>
      </c>
      <c r="D10" s="55" t="n">
        <v>8.8</v>
      </c>
      <c r="E10" s="55" t="s">
        <v>18</v>
      </c>
      <c r="F10" s="55" t="n">
        <v>1</v>
      </c>
      <c r="G10" s="55" t="s">
        <v>46</v>
      </c>
      <c r="H10" s="56"/>
    </row>
    <row r="11" customFormat="false" ht="15" hidden="false" customHeight="false" outlineLevel="0" collapsed="false">
      <c r="A11" s="55" t="s">
        <v>69</v>
      </c>
      <c r="B11" s="56" t="s">
        <v>70</v>
      </c>
      <c r="C11" s="55" t="s">
        <v>5</v>
      </c>
      <c r="D11" s="55" t="n">
        <v>7.9</v>
      </c>
      <c r="E11" s="55" t="s">
        <v>19</v>
      </c>
      <c r="F11" s="55" t="n">
        <v>1</v>
      </c>
      <c r="G11" s="55" t="s">
        <v>55</v>
      </c>
      <c r="H11" s="56" t="s">
        <v>71</v>
      </c>
    </row>
    <row r="12" customFormat="false" ht="15" hidden="false" customHeight="false" outlineLevel="0" collapsed="false">
      <c r="A12" s="55" t="s">
        <v>72</v>
      </c>
      <c r="B12" s="56" t="s">
        <v>73</v>
      </c>
      <c r="C12" s="55" t="s">
        <v>5</v>
      </c>
      <c r="D12" s="55" t="n">
        <v>9.4</v>
      </c>
      <c r="E12" s="55" t="s">
        <v>18</v>
      </c>
      <c r="F12" s="55" t="n">
        <v>1</v>
      </c>
      <c r="G12" s="55" t="s">
        <v>46</v>
      </c>
      <c r="H12" s="56"/>
    </row>
    <row r="13" customFormat="false" ht="15" hidden="false" customHeight="false" outlineLevel="0" collapsed="false">
      <c r="A13" s="55" t="s">
        <v>74</v>
      </c>
      <c r="B13" s="56" t="s">
        <v>75</v>
      </c>
      <c r="C13" s="55" t="s">
        <v>5</v>
      </c>
      <c r="D13" s="55" t="n">
        <v>6.4</v>
      </c>
      <c r="E13" s="55" t="s">
        <v>18</v>
      </c>
      <c r="F13" s="55" t="n">
        <v>3</v>
      </c>
      <c r="G13" s="55" t="s">
        <v>65</v>
      </c>
      <c r="H13" s="56" t="s">
        <v>76</v>
      </c>
    </row>
    <row r="14" customFormat="false" ht="15" hidden="false" customHeight="false" outlineLevel="0" collapsed="false">
      <c r="A14" s="55" t="s">
        <v>77</v>
      </c>
      <c r="B14" s="56" t="s">
        <v>78</v>
      </c>
      <c r="C14" s="55" t="s">
        <v>5</v>
      </c>
      <c r="D14" s="55" t="n">
        <v>8.3</v>
      </c>
      <c r="E14" s="55" t="s">
        <v>20</v>
      </c>
      <c r="F14" s="55" t="n">
        <v>0</v>
      </c>
      <c r="G14" s="55" t="s">
        <v>46</v>
      </c>
      <c r="H14" s="56"/>
    </row>
    <row r="15" customFormat="false" ht="15" hidden="false" customHeight="false" outlineLevel="0" collapsed="false">
      <c r="A15" s="55" t="s">
        <v>79</v>
      </c>
      <c r="B15" s="56" t="s">
        <v>80</v>
      </c>
      <c r="C15" s="55" t="s">
        <v>5</v>
      </c>
      <c r="D15" s="55" t="n">
        <v>7.6</v>
      </c>
      <c r="E15" s="55" t="s">
        <v>18</v>
      </c>
      <c r="F15" s="55" t="n">
        <v>1</v>
      </c>
      <c r="G15" s="55" t="s">
        <v>46</v>
      </c>
      <c r="H15" s="56"/>
    </row>
    <row r="16" customFormat="false" ht="15" hidden="false" customHeight="false" outlineLevel="0" collapsed="false">
      <c r="A16" s="55" t="s">
        <v>81</v>
      </c>
      <c r="B16" s="56" t="s">
        <v>82</v>
      </c>
      <c r="C16" s="55" t="s">
        <v>5</v>
      </c>
      <c r="D16" s="55" t="n">
        <v>8.9</v>
      </c>
      <c r="E16" s="55" t="s">
        <v>18</v>
      </c>
      <c r="F16" s="55" t="n">
        <v>1</v>
      </c>
      <c r="G16" s="55" t="s">
        <v>46</v>
      </c>
      <c r="H16" s="56"/>
    </row>
    <row r="17" customFormat="false" ht="15" hidden="false" customHeight="false" outlineLevel="0" collapsed="false">
      <c r="A17" s="55" t="s">
        <v>83</v>
      </c>
      <c r="B17" s="56" t="s">
        <v>84</v>
      </c>
      <c r="C17" s="55" t="s">
        <v>5</v>
      </c>
      <c r="D17" s="55" t="n">
        <v>5.6</v>
      </c>
      <c r="E17" s="55" t="s">
        <v>19</v>
      </c>
      <c r="F17" s="55" t="n">
        <v>2</v>
      </c>
      <c r="G17" s="55" t="s">
        <v>49</v>
      </c>
      <c r="H17" s="56" t="s">
        <v>50</v>
      </c>
    </row>
    <row r="18" customFormat="false" ht="15" hidden="false" customHeight="false" outlineLevel="0" collapsed="false">
      <c r="A18" s="55" t="s">
        <v>85</v>
      </c>
      <c r="B18" s="56" t="s">
        <v>86</v>
      </c>
      <c r="C18" s="55" t="s">
        <v>5</v>
      </c>
      <c r="D18" s="55" t="n">
        <v>7.2</v>
      </c>
      <c r="E18" s="55" t="s">
        <v>18</v>
      </c>
      <c r="F18" s="55" t="n">
        <v>1</v>
      </c>
      <c r="G18" s="55" t="s">
        <v>46</v>
      </c>
      <c r="H18" s="56"/>
    </row>
    <row r="19" customFormat="false" ht="15" hidden="false" customHeight="false" outlineLevel="0" collapsed="false">
      <c r="A19" s="55" t="s">
        <v>87</v>
      </c>
      <c r="B19" s="56" t="s">
        <v>88</v>
      </c>
      <c r="C19" s="55" t="s">
        <v>5</v>
      </c>
      <c r="D19" s="55" t="n">
        <v>8.5</v>
      </c>
      <c r="E19" s="55" t="s">
        <v>18</v>
      </c>
      <c r="F19" s="55" t="n">
        <v>1</v>
      </c>
      <c r="G19" s="55" t="s">
        <v>46</v>
      </c>
      <c r="H19" s="56"/>
    </row>
    <row r="20" customFormat="false" ht="15" hidden="false" customHeight="false" outlineLevel="0" collapsed="false">
      <c r="A20" s="55" t="s">
        <v>89</v>
      </c>
      <c r="B20" s="56" t="s">
        <v>90</v>
      </c>
      <c r="C20" s="55" t="s">
        <v>5</v>
      </c>
      <c r="D20" s="55" t="n">
        <v>6.7</v>
      </c>
      <c r="E20" s="55" t="s">
        <v>20</v>
      </c>
      <c r="F20" s="55" t="n">
        <v>0</v>
      </c>
      <c r="G20" s="55" t="s">
        <v>65</v>
      </c>
      <c r="H20" s="56" t="s">
        <v>66</v>
      </c>
    </row>
    <row r="21" customFormat="false" ht="15" hidden="false" customHeight="false" outlineLevel="0" collapsed="false">
      <c r="A21" s="55" t="s">
        <v>91</v>
      </c>
      <c r="B21" s="56" t="s">
        <v>92</v>
      </c>
      <c r="C21" s="55" t="s">
        <v>5</v>
      </c>
      <c r="D21" s="55" t="n">
        <v>8</v>
      </c>
      <c r="E21" s="55" t="s">
        <v>18</v>
      </c>
      <c r="F21" s="55" t="n">
        <v>1</v>
      </c>
      <c r="G21" s="55" t="s">
        <v>46</v>
      </c>
      <c r="H21" s="5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2026-08-10T05:59:22Z</dcterms:created>
  <dc:creator>openpyxl</dc:creator>
  <dc:description/>
  <dc:language>en-US</dc:language>
  <cp:lastModifiedBy/>
  <dcterms:modified xsi:type="dcterms:W3CDTF">2026-08-10T05:59:24Z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